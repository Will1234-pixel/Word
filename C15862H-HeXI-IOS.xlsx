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15000\15800\15862\S05 - Engineer notes etc\"/>
    </mc:Choice>
  </mc:AlternateContent>
  <xr:revisionPtr revIDLastSave="0" documentId="13_ncr:1_{A7C94E55-0AB2-4B02-A52D-532B57604713}" xr6:coauthVersionLast="47" xr6:coauthVersionMax="47" xr10:uidLastSave="{00000000-0000-0000-0000-000000000000}"/>
  <bookViews>
    <workbookView xWindow="-120" yWindow="-120" windowWidth="38640" windowHeight="21120" activeTab="8" xr2:uid="{DF7A820C-D895-4C5B-BD6A-00846F307BD4}"/>
  </bookViews>
  <sheets>
    <sheet name="Cover Sheet" sheetId="69" r:id="rId1"/>
    <sheet name="005_AI" sheetId="61" r:id="rId2"/>
    <sheet name="007_DI" sheetId="62" r:id="rId3"/>
    <sheet name="008_DI" sheetId="63" r:id="rId4"/>
    <sheet name="009_DI" sheetId="64" r:id="rId5"/>
    <sheet name="013_DO" sheetId="65" r:id="rId6"/>
    <sheet name="014_DO" sheetId="66" r:id="rId7"/>
    <sheet name="015_DO" sheetId="67" r:id="rId8"/>
    <sheet name="016_DO" sheetId="68" r:id="rId9"/>
    <sheet name="OVERVIEW" sheetId="1" r:id="rId10"/>
    <sheet name="DATA" sheetId="2" r:id="rId11"/>
  </sheets>
  <definedNames>
    <definedName name="_xlnm._FilterDatabase" localSheetId="3" hidden="1">'008_DI'!$A$1:$R$65</definedName>
    <definedName name="Client" localSheetId="0">#REF!</definedName>
    <definedName name="Client">#REF!</definedName>
    <definedName name="Description" localSheetId="0">#REF!</definedName>
    <definedName name="Description">#REF!</definedName>
    <definedName name="OrderNumber" localSheetId="0">#REF!</definedName>
    <definedName name="OrderNumber">#REF!</definedName>
    <definedName name="PONumber" localSheetId="0">#REF!</definedName>
    <definedName name="PONumber">#REF!</definedName>
    <definedName name="_xlnm.Print_Area" localSheetId="1">'005_AI'!$A:$R</definedName>
    <definedName name="_xlnm.Print_Area" localSheetId="2">'007_DI'!$A$1:$R$65</definedName>
    <definedName name="_xlnm.Print_Area" localSheetId="3">'008_DI'!$A$1:$R$65</definedName>
    <definedName name="_xlnm.Print_Area" localSheetId="4">'009_DI'!$A$1:$R$65</definedName>
    <definedName name="_xlnm.Print_Area" localSheetId="5">'013_DO'!$A$1:$X$53</definedName>
    <definedName name="_xlnm.Print_Area" localSheetId="0">'Cover Sheet'!$A$1:$J$50</definedName>
    <definedName name="_xlnm.Print_Area" localSheetId="9">OVERVIEW!$A$1:$R$47</definedName>
    <definedName name="_xlnm.Print_Titles" localSheetId="1">'005_AI'!$1:$1</definedName>
    <definedName name="_xlnm.Print_Titles" localSheetId="2">'007_DI'!$1:$1</definedName>
    <definedName name="_xlnm.Print_Titles" localSheetId="3">'008_DI'!$1:$1</definedName>
    <definedName name="_xlnm.Print_Titles" localSheetId="4">'009_DI'!$1:$1</definedName>
    <definedName name="_xlnm.Print_Titles" localSheetId="5">'013_DO'!$1:$1</definedName>
    <definedName name="_xlnm.Print_Titles" localSheetId="6">'014_DO'!$1:$1</definedName>
    <definedName name="_xlnm.Print_Titles" localSheetId="7">'015_DO'!$1:$1</definedName>
    <definedName name="_xlnm.Print_Titles" localSheetId="8">'016_DO'!$1:$1</definedName>
    <definedName name="Project" localSheetId="0">#REF!</definedName>
    <definedName name="Project">#REF!</definedName>
    <definedName name="SIL" localSheetId="0">#REF!</definedName>
    <definedName name="SI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61" l="1"/>
  <c r="F41" i="61"/>
  <c r="F40" i="61"/>
  <c r="F45" i="61"/>
  <c r="F44" i="61"/>
  <c r="F43" i="61"/>
  <c r="F39" i="61"/>
  <c r="F38" i="61"/>
  <c r="F37" i="61"/>
  <c r="G46" i="64" l="1"/>
  <c r="G48" i="64" s="1"/>
  <c r="G46" i="62"/>
  <c r="G48" i="62"/>
  <c r="G50" i="62"/>
  <c r="G52" i="62"/>
  <c r="G54" i="62"/>
  <c r="G56" i="62"/>
  <c r="G58" i="62"/>
  <c r="G60" i="62"/>
  <c r="G62" i="62"/>
  <c r="I27" i="61"/>
  <c r="I26" i="61"/>
  <c r="I25" i="61"/>
  <c r="I24" i="61"/>
  <c r="I23" i="61"/>
  <c r="I22" i="61"/>
  <c r="I19" i="61"/>
  <c r="I18" i="61"/>
  <c r="I17" i="61"/>
  <c r="I14" i="61"/>
  <c r="I13" i="61"/>
  <c r="I12" i="61"/>
  <c r="I9" i="61"/>
  <c r="I8" i="61"/>
  <c r="I7" i="61"/>
  <c r="I4" i="61"/>
  <c r="I2" i="61"/>
  <c r="F27" i="61"/>
  <c r="F26" i="61"/>
  <c r="F25" i="61"/>
  <c r="F24" i="61"/>
  <c r="F23" i="61"/>
  <c r="F22" i="61"/>
  <c r="F19" i="61"/>
  <c r="F18" i="61"/>
  <c r="F17" i="61"/>
  <c r="D2" i="68" l="1" a="1"/>
  <c r="D2" i="68" s="1"/>
  <c r="F2" i="68"/>
  <c r="F3" i="68"/>
  <c r="D4" i="68" a="1"/>
  <c r="D4" i="68" s="1"/>
  <c r="N5" i="68" s="1"/>
  <c r="F4" i="68"/>
  <c r="F5" i="68"/>
  <c r="D6" i="68" a="1"/>
  <c r="D6" i="68" s="1"/>
  <c r="A6" i="68" s="1"/>
  <c r="F6" i="68"/>
  <c r="F7" i="68"/>
  <c r="D8" i="68" a="1"/>
  <c r="D8" i="68" s="1"/>
  <c r="F8" i="68"/>
  <c r="F9" i="68"/>
  <c r="D10" i="68" a="1"/>
  <c r="D10" i="68" s="1"/>
  <c r="F10" i="68"/>
  <c r="F11" i="68"/>
  <c r="D12" i="68" a="1"/>
  <c r="D12" i="68" s="1"/>
  <c r="F12" i="68"/>
  <c r="F13" i="68"/>
  <c r="D14" i="68" a="1"/>
  <c r="D14" i="68" s="1"/>
  <c r="F14" i="68"/>
  <c r="F15" i="68"/>
  <c r="D16" i="68" a="1"/>
  <c r="D16" i="68" s="1"/>
  <c r="F16" i="68"/>
  <c r="F17" i="68"/>
  <c r="D18" i="68" a="1"/>
  <c r="D18" i="68" s="1"/>
  <c r="F18" i="68"/>
  <c r="F19" i="68"/>
  <c r="D20" i="68" a="1"/>
  <c r="D20" i="68" s="1"/>
  <c r="F20" i="68"/>
  <c r="F21" i="68"/>
  <c r="D22" i="68" a="1"/>
  <c r="D22" i="68" s="1"/>
  <c r="F22" i="68"/>
  <c r="F23" i="68"/>
  <c r="D24" i="68" a="1"/>
  <c r="D24" i="68" s="1"/>
  <c r="F24" i="68"/>
  <c r="F25" i="68"/>
  <c r="D26" i="68" a="1"/>
  <c r="D26" i="68" s="1"/>
  <c r="F26" i="68"/>
  <c r="F27" i="68"/>
  <c r="D28" i="68" a="1"/>
  <c r="D28" i="68" s="1"/>
  <c r="F28" i="68"/>
  <c r="F29" i="68"/>
  <c r="D30" i="68" a="1"/>
  <c r="D30" i="68" s="1"/>
  <c r="F30" i="68"/>
  <c r="F31" i="68"/>
  <c r="D32" i="68" a="1"/>
  <c r="D32" i="68" s="1"/>
  <c r="F32" i="68"/>
  <c r="F33" i="68"/>
  <c r="D34" i="68" a="1"/>
  <c r="D34" i="68" s="1"/>
  <c r="N34" i="68" s="1"/>
  <c r="F34" i="68"/>
  <c r="F35" i="68"/>
  <c r="D36" i="68" a="1"/>
  <c r="D36" i="68" s="1"/>
  <c r="F36" i="68"/>
  <c r="F37" i="68"/>
  <c r="D38" i="68" a="1"/>
  <c r="D38" i="68" s="1"/>
  <c r="F38" i="68"/>
  <c r="F39" i="68"/>
  <c r="D40" i="68" a="1"/>
  <c r="D40" i="68" s="1"/>
  <c r="F40" i="68"/>
  <c r="F41" i="68"/>
  <c r="D42" i="68" a="1"/>
  <c r="D42" i="68" s="1"/>
  <c r="A42" i="68" s="1"/>
  <c r="F42" i="68"/>
  <c r="F43" i="68"/>
  <c r="D44" i="68" a="1"/>
  <c r="D44" i="68" s="1"/>
  <c r="F44" i="68"/>
  <c r="F45" i="68"/>
  <c r="D46" i="68" a="1"/>
  <c r="D46" i="68" s="1"/>
  <c r="F46" i="68"/>
  <c r="F47" i="68"/>
  <c r="D48" i="68" a="1"/>
  <c r="D48" i="68" s="1"/>
  <c r="F48" i="68"/>
  <c r="F49" i="68"/>
  <c r="D2" i="67" a="1"/>
  <c r="D2" i="67" s="1"/>
  <c r="F2" i="67"/>
  <c r="F3" i="67"/>
  <c r="D4" i="67" a="1"/>
  <c r="D4" i="67" s="1"/>
  <c r="F4" i="67"/>
  <c r="F5" i="67"/>
  <c r="D6" i="67" a="1"/>
  <c r="D6" i="67" s="1"/>
  <c r="F6" i="67"/>
  <c r="F7" i="67"/>
  <c r="D8" i="67" a="1"/>
  <c r="D8" i="67" s="1"/>
  <c r="F8" i="67"/>
  <c r="F9" i="67"/>
  <c r="D10" i="67" a="1"/>
  <c r="D10" i="67" s="1"/>
  <c r="F10" i="67"/>
  <c r="F11" i="67"/>
  <c r="D12" i="67" a="1"/>
  <c r="D12" i="67" s="1"/>
  <c r="F12" i="67"/>
  <c r="F13" i="67"/>
  <c r="D14" i="67" a="1"/>
  <c r="D14" i="67" s="1"/>
  <c r="F14" i="67"/>
  <c r="F15" i="67"/>
  <c r="D16" i="67" a="1"/>
  <c r="D16" i="67" s="1"/>
  <c r="F16" i="67"/>
  <c r="F17" i="67"/>
  <c r="D18" i="67" a="1"/>
  <c r="D18" i="67" s="1"/>
  <c r="F18" i="67"/>
  <c r="F19" i="67"/>
  <c r="D20" i="67" a="1"/>
  <c r="D20" i="67" s="1"/>
  <c r="F20" i="67"/>
  <c r="F21" i="67"/>
  <c r="D22" i="67" a="1"/>
  <c r="D22" i="67" s="1"/>
  <c r="F22" i="67"/>
  <c r="F23" i="67"/>
  <c r="D24" i="67" a="1"/>
  <c r="D24" i="67" s="1"/>
  <c r="N25" i="67" s="1"/>
  <c r="F24" i="67"/>
  <c r="F25" i="67"/>
  <c r="D26" i="67" a="1"/>
  <c r="D26" i="67" s="1"/>
  <c r="F26" i="67"/>
  <c r="F27" i="67"/>
  <c r="D28" i="67" a="1"/>
  <c r="D28" i="67" s="1"/>
  <c r="F28" i="67"/>
  <c r="F29" i="67"/>
  <c r="D30" i="67" a="1"/>
  <c r="D30" i="67" s="1"/>
  <c r="F30" i="67"/>
  <c r="F31" i="67"/>
  <c r="D32" i="67" a="1"/>
  <c r="D32" i="67" s="1"/>
  <c r="F32" i="67"/>
  <c r="F33" i="67"/>
  <c r="D34" i="67" a="1"/>
  <c r="D34" i="67" s="1"/>
  <c r="F34" i="67"/>
  <c r="F35" i="67"/>
  <c r="D36" i="67" a="1"/>
  <c r="D36" i="67" s="1"/>
  <c r="F36" i="67"/>
  <c r="F37" i="67"/>
  <c r="D38" i="67" a="1"/>
  <c r="D38" i="67" s="1"/>
  <c r="F38" i="67"/>
  <c r="F39" i="67"/>
  <c r="D40" i="67" a="1"/>
  <c r="D40" i="67" s="1"/>
  <c r="F40" i="67"/>
  <c r="F41" i="67"/>
  <c r="D42" i="67" a="1"/>
  <c r="D42" i="67" s="1"/>
  <c r="F42" i="67"/>
  <c r="F43" i="67"/>
  <c r="D44" i="67" a="1"/>
  <c r="D44" i="67" s="1"/>
  <c r="A44" i="67" s="1"/>
  <c r="F44" i="67"/>
  <c r="F45" i="67"/>
  <c r="D46" i="67" a="1"/>
  <c r="D46" i="67" s="1"/>
  <c r="F46" i="67"/>
  <c r="F47" i="67"/>
  <c r="D48" i="67" a="1"/>
  <c r="D48" i="67" s="1"/>
  <c r="F48" i="67"/>
  <c r="F49" i="67"/>
  <c r="D2" i="66" a="1"/>
  <c r="D2" i="66" s="1"/>
  <c r="F2" i="66"/>
  <c r="F3" i="66"/>
  <c r="D4" i="66" a="1"/>
  <c r="D4" i="66" s="1"/>
  <c r="N5" i="66" s="1"/>
  <c r="F4" i="66"/>
  <c r="F5" i="66"/>
  <c r="D6" i="66" a="1"/>
  <c r="D6" i="66" s="1"/>
  <c r="F6" i="66"/>
  <c r="F7" i="66"/>
  <c r="D8" i="66" a="1"/>
  <c r="D8" i="66" s="1"/>
  <c r="F8" i="66"/>
  <c r="F9" i="66"/>
  <c r="D10" i="66" a="1"/>
  <c r="D10" i="66" s="1"/>
  <c r="F10" i="66"/>
  <c r="F11" i="66"/>
  <c r="D12" i="66" a="1"/>
  <c r="D12" i="66" s="1"/>
  <c r="F12" i="66"/>
  <c r="F13" i="66"/>
  <c r="D14" i="66" a="1"/>
  <c r="D14" i="66" s="1"/>
  <c r="F14" i="66"/>
  <c r="F15" i="66"/>
  <c r="D16" i="66" a="1"/>
  <c r="D16" i="66" s="1"/>
  <c r="A16" i="66" s="1"/>
  <c r="F16" i="66"/>
  <c r="F17" i="66"/>
  <c r="D18" i="66" a="1"/>
  <c r="D18" i="66" s="1"/>
  <c r="F18" i="66"/>
  <c r="F19" i="66"/>
  <c r="D20" i="66" a="1"/>
  <c r="D20" i="66" s="1"/>
  <c r="F20" i="66"/>
  <c r="F21" i="66"/>
  <c r="D22" i="66" a="1"/>
  <c r="D22" i="66" s="1"/>
  <c r="F22" i="66"/>
  <c r="F23" i="66"/>
  <c r="D24" i="66" a="1"/>
  <c r="D24" i="66" s="1"/>
  <c r="F24" i="66"/>
  <c r="F25" i="66"/>
  <c r="D26" i="66" a="1"/>
  <c r="D26" i="66" s="1"/>
  <c r="F26" i="66"/>
  <c r="F27" i="66"/>
  <c r="D28" i="66" a="1"/>
  <c r="D28" i="66" s="1"/>
  <c r="F28" i="66"/>
  <c r="F29" i="66"/>
  <c r="D30" i="66" a="1"/>
  <c r="D30" i="66" s="1"/>
  <c r="F30" i="66"/>
  <c r="F31" i="66"/>
  <c r="D32" i="66" a="1"/>
  <c r="D32" i="66" s="1"/>
  <c r="F32" i="66"/>
  <c r="F33" i="66"/>
  <c r="D34" i="66" a="1"/>
  <c r="D34" i="66" s="1"/>
  <c r="F34" i="66"/>
  <c r="F35" i="66"/>
  <c r="D36" i="66" a="1"/>
  <c r="D36" i="66" s="1"/>
  <c r="F36" i="66"/>
  <c r="F37" i="66"/>
  <c r="D38" i="66" a="1"/>
  <c r="D38" i="66" s="1"/>
  <c r="F38" i="66"/>
  <c r="F39" i="66"/>
  <c r="D40" i="66" a="1"/>
  <c r="D40" i="66" s="1"/>
  <c r="F40" i="66"/>
  <c r="F41" i="66"/>
  <c r="D42" i="66" a="1"/>
  <c r="D42" i="66" s="1"/>
  <c r="F42" i="66"/>
  <c r="F43" i="66"/>
  <c r="D44" i="66" a="1"/>
  <c r="D44" i="66" s="1"/>
  <c r="F44" i="66"/>
  <c r="F45" i="66"/>
  <c r="D46" i="66" a="1"/>
  <c r="D46" i="66" s="1"/>
  <c r="F46" i="66"/>
  <c r="F47" i="66"/>
  <c r="D48" i="66" a="1"/>
  <c r="D48" i="66" s="1"/>
  <c r="F48" i="66"/>
  <c r="F49" i="66"/>
  <c r="D2" i="65" a="1"/>
  <c r="D2" i="65" s="1"/>
  <c r="F2" i="65"/>
  <c r="F3" i="65"/>
  <c r="D8" i="65" a="1"/>
  <c r="D8" i="65" s="1"/>
  <c r="F8" i="65"/>
  <c r="F9" i="65"/>
  <c r="D10" i="65" a="1"/>
  <c r="D10" i="65" s="1"/>
  <c r="F10" i="65"/>
  <c r="F11" i="65"/>
  <c r="D12" i="65" a="1"/>
  <c r="D12" i="65" s="1"/>
  <c r="F12" i="65"/>
  <c r="F13" i="65"/>
  <c r="D14" i="65" a="1"/>
  <c r="D14" i="65" s="1"/>
  <c r="F14" i="65"/>
  <c r="F15" i="65"/>
  <c r="D16" i="65" a="1"/>
  <c r="D16" i="65" s="1"/>
  <c r="F16" i="65"/>
  <c r="F17" i="65"/>
  <c r="D18" i="65" a="1"/>
  <c r="D18" i="65" s="1"/>
  <c r="F18" i="65"/>
  <c r="F19" i="65"/>
  <c r="D20" i="65" a="1"/>
  <c r="D20" i="65" s="1"/>
  <c r="F20" i="65"/>
  <c r="F21" i="65"/>
  <c r="D22" i="65" a="1"/>
  <c r="D22" i="65" s="1"/>
  <c r="F22" i="65"/>
  <c r="F23" i="65"/>
  <c r="D24" i="65" a="1"/>
  <c r="D24" i="65" s="1"/>
  <c r="F24" i="65"/>
  <c r="F25" i="65"/>
  <c r="D26" i="65" a="1"/>
  <c r="D26" i="65" s="1"/>
  <c r="F26" i="65"/>
  <c r="F27" i="65"/>
  <c r="D28" i="65" a="1"/>
  <c r="D28" i="65" s="1"/>
  <c r="F28" i="65"/>
  <c r="F29" i="65"/>
  <c r="D30" i="65" a="1"/>
  <c r="D30" i="65" s="1"/>
  <c r="F30" i="65"/>
  <c r="F31" i="65"/>
  <c r="D32" i="65" a="1"/>
  <c r="D32" i="65" s="1"/>
  <c r="F32" i="65"/>
  <c r="F33" i="65"/>
  <c r="D34" i="65" a="1"/>
  <c r="D34" i="65" s="1"/>
  <c r="F34" i="65"/>
  <c r="F35" i="65"/>
  <c r="D36" i="65" a="1"/>
  <c r="D36" i="65" s="1"/>
  <c r="F36" i="65"/>
  <c r="F37" i="65"/>
  <c r="D38" i="65" a="1"/>
  <c r="D38" i="65" s="1"/>
  <c r="F38" i="65"/>
  <c r="F39" i="65"/>
  <c r="D40" i="65" a="1"/>
  <c r="D40" i="65" s="1"/>
  <c r="F40" i="65"/>
  <c r="F41" i="65"/>
  <c r="D42" i="65" a="1"/>
  <c r="D42" i="65" s="1"/>
  <c r="F42" i="65"/>
  <c r="F43" i="65"/>
  <c r="D44" i="65" a="1"/>
  <c r="D44" i="65" s="1"/>
  <c r="F44" i="65"/>
  <c r="F45" i="65"/>
  <c r="D46" i="65" a="1"/>
  <c r="D46" i="65" s="1"/>
  <c r="F46" i="65"/>
  <c r="F47" i="65"/>
  <c r="D48" i="65" a="1"/>
  <c r="D48" i="65" s="1"/>
  <c r="F48" i="65"/>
  <c r="F49" i="65"/>
  <c r="D50" i="65" a="1"/>
  <c r="D50" i="65" s="1"/>
  <c r="F50" i="65"/>
  <c r="F51" i="65"/>
  <c r="D52" i="65" a="1"/>
  <c r="D52" i="65" s="1"/>
  <c r="F52" i="65"/>
  <c r="F53" i="65"/>
  <c r="N12" i="68" l="1"/>
  <c r="N19" i="68"/>
  <c r="N28" i="68"/>
  <c r="N8" i="67"/>
  <c r="N37" i="66"/>
  <c r="L2" i="65"/>
  <c r="L3" i="65"/>
  <c r="N3" i="67"/>
  <c r="T19" i="65"/>
  <c r="T18" i="65"/>
  <c r="N22" i="68"/>
  <c r="N24" i="68"/>
  <c r="N41" i="68"/>
  <c r="N18" i="67"/>
  <c r="N13" i="67"/>
  <c r="N35" i="67"/>
  <c r="N48" i="67"/>
  <c r="N14" i="67"/>
  <c r="N40" i="67"/>
  <c r="N36" i="67"/>
  <c r="N30" i="67"/>
  <c r="N32" i="66"/>
  <c r="N26" i="66"/>
  <c r="N9" i="66"/>
  <c r="N21" i="66"/>
  <c r="N14" i="66"/>
  <c r="N10" i="66"/>
  <c r="L8" i="65"/>
  <c r="L9" i="65"/>
  <c r="T31" i="65"/>
  <c r="T28" i="65"/>
  <c r="N20" i="66"/>
  <c r="N20" i="67"/>
  <c r="N21" i="67"/>
  <c r="A46" i="68"/>
  <c r="N47" i="68"/>
  <c r="N46" i="68"/>
  <c r="N18" i="68"/>
  <c r="N34" i="67"/>
  <c r="N31" i="66"/>
  <c r="N30" i="66"/>
  <c r="N21" i="68"/>
  <c r="N20" i="68"/>
  <c r="A42" i="67"/>
  <c r="N42" i="67"/>
  <c r="N38" i="66"/>
  <c r="N39" i="66"/>
  <c r="N11" i="68"/>
  <c r="N10" i="68"/>
  <c r="N12" i="67"/>
  <c r="N17" i="66"/>
  <c r="T50" i="65"/>
  <c r="N15" i="66"/>
  <c r="N41" i="67"/>
  <c r="N4" i="68"/>
  <c r="N19" i="67"/>
  <c r="T29" i="65"/>
  <c r="N49" i="67"/>
  <c r="T40" i="65"/>
  <c r="N22" i="66"/>
  <c r="N23" i="66"/>
  <c r="N27" i="68"/>
  <c r="N26" i="68"/>
  <c r="T44" i="65"/>
  <c r="T52" i="65"/>
  <c r="N40" i="68"/>
  <c r="N25" i="68"/>
  <c r="T35" i="65"/>
  <c r="T11" i="65"/>
  <c r="T23" i="65"/>
  <c r="T22" i="65"/>
  <c r="T42" i="65"/>
  <c r="T43" i="65"/>
  <c r="N32" i="68"/>
  <c r="N33" i="68"/>
  <c r="N25" i="66"/>
  <c r="N24" i="66"/>
  <c r="N48" i="66"/>
  <c r="N49" i="66"/>
  <c r="N28" i="66"/>
  <c r="N29" i="66"/>
  <c r="T15" i="65"/>
  <c r="T14" i="65"/>
  <c r="N29" i="67"/>
  <c r="N28" i="67"/>
  <c r="N7" i="67"/>
  <c r="N6" i="67"/>
  <c r="A44" i="66"/>
  <c r="N44" i="66"/>
  <c r="T37" i="65"/>
  <c r="T36" i="65"/>
  <c r="N46" i="67"/>
  <c r="N47" i="67"/>
  <c r="A46" i="67"/>
  <c r="N36" i="66"/>
  <c r="T10" i="65"/>
  <c r="N4" i="66"/>
  <c r="T34" i="65"/>
  <c r="T41" i="65"/>
  <c r="T30" i="65"/>
  <c r="T51" i="65"/>
  <c r="T24" i="65"/>
  <c r="T45" i="65"/>
  <c r="T16" i="65"/>
  <c r="N8" i="66"/>
  <c r="N37" i="67"/>
  <c r="N34" i="66"/>
  <c r="N35" i="66"/>
  <c r="N19" i="66"/>
  <c r="N18" i="66"/>
  <c r="T13" i="65"/>
  <c r="T12" i="65"/>
  <c r="N22" i="67"/>
  <c r="N23" i="67"/>
  <c r="N15" i="68"/>
  <c r="N14" i="68"/>
  <c r="N7" i="66"/>
  <c r="N6" i="66"/>
  <c r="N38" i="68"/>
  <c r="N39" i="68"/>
  <c r="T20" i="65"/>
  <c r="T21" i="65"/>
  <c r="N41" i="66"/>
  <c r="N40" i="66"/>
  <c r="N10" i="67"/>
  <c r="N11" i="67"/>
  <c r="T38" i="65"/>
  <c r="T39" i="65"/>
  <c r="T47" i="65"/>
  <c r="T46" i="65"/>
  <c r="N44" i="68"/>
  <c r="N45" i="68"/>
  <c r="A44" i="68"/>
  <c r="T32" i="65"/>
  <c r="T33" i="65"/>
  <c r="N8" i="68"/>
  <c r="N9" i="68"/>
  <c r="T8" i="65"/>
  <c r="T9" i="65"/>
  <c r="N48" i="68"/>
  <c r="N49" i="68"/>
  <c r="N2" i="66"/>
  <c r="N3" i="66"/>
  <c r="N32" i="67"/>
  <c r="N33" i="67"/>
  <c r="N37" i="68"/>
  <c r="N36" i="68"/>
  <c r="N12" i="66"/>
  <c r="N13" i="66"/>
  <c r="N39" i="67"/>
  <c r="N38" i="67"/>
  <c r="N16" i="67"/>
  <c r="N17" i="67"/>
  <c r="N27" i="67"/>
  <c r="N26" i="67"/>
  <c r="A46" i="66"/>
  <c r="N46" i="66"/>
  <c r="N47" i="66"/>
  <c r="N5" i="67"/>
  <c r="N4" i="67"/>
  <c r="N30" i="68"/>
  <c r="N31" i="68"/>
  <c r="A42" i="66"/>
  <c r="N43" i="66"/>
  <c r="N42" i="66"/>
  <c r="N17" i="68"/>
  <c r="N16" i="68"/>
  <c r="T49" i="65"/>
  <c r="T48" i="65"/>
  <c r="T26" i="65"/>
  <c r="T27" i="65"/>
  <c r="A2" i="68"/>
  <c r="N2" i="68"/>
  <c r="N3" i="68"/>
  <c r="A28" i="67"/>
  <c r="A4" i="68"/>
  <c r="N24" i="67"/>
  <c r="N2" i="67"/>
  <c r="T53" i="65"/>
  <c r="N33" i="66"/>
  <c r="N45" i="67"/>
  <c r="N31" i="67"/>
  <c r="N29" i="68"/>
  <c r="N7" i="68"/>
  <c r="T25" i="65"/>
  <c r="T17" i="65"/>
  <c r="N11" i="66"/>
  <c r="N9" i="67"/>
  <c r="N43" i="68"/>
  <c r="N44" i="67"/>
  <c r="N6" i="68"/>
  <c r="N42" i="68"/>
  <c r="N35" i="68"/>
  <c r="N13" i="68"/>
  <c r="N15" i="67"/>
  <c r="N45" i="66"/>
  <c r="N16" i="66"/>
  <c r="N43" i="67"/>
  <c r="N23" i="68"/>
  <c r="N27" i="66"/>
  <c r="I65" i="64"/>
  <c r="I64" i="64"/>
  <c r="I63" i="64"/>
  <c r="I62" i="64"/>
  <c r="I61" i="64"/>
  <c r="I60" i="64"/>
  <c r="I59" i="64"/>
  <c r="I58" i="64"/>
  <c r="I57" i="64"/>
  <c r="I56" i="64"/>
  <c r="I55" i="64"/>
  <c r="I54" i="64"/>
  <c r="I53" i="64"/>
  <c r="I52" i="64"/>
  <c r="I51" i="64"/>
  <c r="I50" i="64"/>
  <c r="I49" i="64"/>
  <c r="I48" i="64"/>
  <c r="I47" i="64"/>
  <c r="I46" i="64"/>
  <c r="I45" i="64"/>
  <c r="I44" i="64"/>
  <c r="I43" i="64"/>
  <c r="I42" i="64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I18" i="64"/>
  <c r="I17" i="64"/>
  <c r="I16" i="64"/>
  <c r="I15" i="64"/>
  <c r="I14" i="64"/>
  <c r="I13" i="64"/>
  <c r="I12" i="64"/>
  <c r="I11" i="64"/>
  <c r="I10" i="64"/>
  <c r="I9" i="64"/>
  <c r="I8" i="64"/>
  <c r="I7" i="64"/>
  <c r="I6" i="64"/>
  <c r="I5" i="64"/>
  <c r="I4" i="64"/>
  <c r="I3" i="64"/>
  <c r="I2" i="64"/>
  <c r="I65" i="63"/>
  <c r="I64" i="63"/>
  <c r="I63" i="63"/>
  <c r="I62" i="63"/>
  <c r="I61" i="63"/>
  <c r="I60" i="63"/>
  <c r="I59" i="63"/>
  <c r="I58" i="63"/>
  <c r="I57" i="63"/>
  <c r="I56" i="63"/>
  <c r="I55" i="63"/>
  <c r="I54" i="63"/>
  <c r="I53" i="63"/>
  <c r="I52" i="63"/>
  <c r="I51" i="63"/>
  <c r="I50" i="63"/>
  <c r="I49" i="63"/>
  <c r="I48" i="63"/>
  <c r="I47" i="63"/>
  <c r="I46" i="63"/>
  <c r="I45" i="63"/>
  <c r="I44" i="63"/>
  <c r="I43" i="63"/>
  <c r="I42" i="63"/>
  <c r="I41" i="63"/>
  <c r="I40" i="63"/>
  <c r="I39" i="63"/>
  <c r="I38" i="63"/>
  <c r="I37" i="63"/>
  <c r="I36" i="63"/>
  <c r="I35" i="63"/>
  <c r="I34" i="63"/>
  <c r="I33" i="63"/>
  <c r="I32" i="63"/>
  <c r="I31" i="63"/>
  <c r="I30" i="63"/>
  <c r="I29" i="63"/>
  <c r="I28" i="63"/>
  <c r="I27" i="63"/>
  <c r="I26" i="63"/>
  <c r="I25" i="63"/>
  <c r="I24" i="63"/>
  <c r="I23" i="63"/>
  <c r="I22" i="63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8" i="63"/>
  <c r="I7" i="63"/>
  <c r="I6" i="63"/>
  <c r="I5" i="63"/>
  <c r="I4" i="63"/>
  <c r="I3" i="63"/>
  <c r="I2" i="63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I7" i="62"/>
  <c r="I6" i="62"/>
  <c r="I5" i="62"/>
  <c r="I4" i="62"/>
  <c r="I3" i="62"/>
  <c r="I2" i="62"/>
  <c r="F65" i="64"/>
  <c r="F64" i="64"/>
  <c r="D64" i="64" a="1"/>
  <c r="D64" i="64" s="1"/>
  <c r="N65" i="64" s="1"/>
  <c r="F63" i="64"/>
  <c r="F62" i="64"/>
  <c r="D62" i="64" a="1"/>
  <c r="D62" i="64" s="1"/>
  <c r="F61" i="64"/>
  <c r="F60" i="64"/>
  <c r="D60" i="64" a="1"/>
  <c r="D60" i="64" s="1"/>
  <c r="F59" i="64"/>
  <c r="F58" i="64"/>
  <c r="D58" i="64" a="1"/>
  <c r="D58" i="64" s="1"/>
  <c r="F57" i="64"/>
  <c r="F56" i="64"/>
  <c r="D56" i="64" a="1"/>
  <c r="D56" i="64" s="1"/>
  <c r="F55" i="64"/>
  <c r="F54" i="64"/>
  <c r="D54" i="64" a="1"/>
  <c r="D54" i="64" s="1"/>
  <c r="F53" i="64"/>
  <c r="F52" i="64"/>
  <c r="D52" i="64" a="1"/>
  <c r="D52" i="64" s="1"/>
  <c r="N53" i="64" s="1"/>
  <c r="F51" i="64"/>
  <c r="F50" i="64"/>
  <c r="D50" i="64" a="1"/>
  <c r="D50" i="64" s="1"/>
  <c r="F49" i="64"/>
  <c r="F48" i="64"/>
  <c r="D48" i="64" a="1"/>
  <c r="D48" i="64" s="1"/>
  <c r="F47" i="64"/>
  <c r="F46" i="64"/>
  <c r="D46" i="64" a="1"/>
  <c r="D46" i="64" s="1"/>
  <c r="F45" i="64"/>
  <c r="F44" i="64"/>
  <c r="D44" i="64" a="1"/>
  <c r="D44" i="64" s="1"/>
  <c r="F43" i="64"/>
  <c r="F42" i="64"/>
  <c r="D42" i="64" a="1"/>
  <c r="D42" i="64" s="1"/>
  <c r="F41" i="64"/>
  <c r="F40" i="64"/>
  <c r="D40" i="64" a="1"/>
  <c r="D40" i="64" s="1"/>
  <c r="F39" i="64"/>
  <c r="F38" i="64"/>
  <c r="D38" i="64" a="1"/>
  <c r="D38" i="64" s="1"/>
  <c r="F37" i="64"/>
  <c r="F36" i="64"/>
  <c r="D36" i="64" a="1"/>
  <c r="D36" i="64" s="1"/>
  <c r="F35" i="64"/>
  <c r="F34" i="64"/>
  <c r="D34" i="64" a="1"/>
  <c r="D34" i="64" s="1"/>
  <c r="F33" i="64"/>
  <c r="F32" i="64"/>
  <c r="D32" i="64" a="1"/>
  <c r="D32" i="64" s="1"/>
  <c r="F31" i="64"/>
  <c r="F30" i="64"/>
  <c r="D30" i="64" a="1"/>
  <c r="D30" i="64" s="1"/>
  <c r="F29" i="64"/>
  <c r="F28" i="64"/>
  <c r="D28" i="64" a="1"/>
  <c r="D28" i="64" s="1"/>
  <c r="F27" i="64"/>
  <c r="F26" i="64"/>
  <c r="D26" i="64" a="1"/>
  <c r="D26" i="64" s="1"/>
  <c r="F25" i="64"/>
  <c r="F24" i="64"/>
  <c r="D24" i="64" a="1"/>
  <c r="D24" i="64" s="1"/>
  <c r="F23" i="64"/>
  <c r="F22" i="64"/>
  <c r="D22" i="64" a="1"/>
  <c r="D22" i="64" s="1"/>
  <c r="F21" i="64"/>
  <c r="F20" i="64"/>
  <c r="D20" i="64" a="1"/>
  <c r="D20" i="64" s="1"/>
  <c r="F19" i="64"/>
  <c r="F18" i="64"/>
  <c r="D18" i="64" a="1"/>
  <c r="D18" i="64" s="1"/>
  <c r="F17" i="64"/>
  <c r="F16" i="64"/>
  <c r="D16" i="64" a="1"/>
  <c r="D16" i="64" s="1"/>
  <c r="F15" i="64"/>
  <c r="F14" i="64"/>
  <c r="D14" i="64" a="1"/>
  <c r="D14" i="64" s="1"/>
  <c r="F13" i="64"/>
  <c r="F12" i="64"/>
  <c r="D12" i="64" a="1"/>
  <c r="D12" i="64" s="1"/>
  <c r="F11" i="64"/>
  <c r="F10" i="64"/>
  <c r="D10" i="64" a="1"/>
  <c r="D10" i="64" s="1"/>
  <c r="F9" i="64"/>
  <c r="F8" i="64"/>
  <c r="D8" i="64" a="1"/>
  <c r="D8" i="64" s="1"/>
  <c r="N9" i="64" s="1"/>
  <c r="F7" i="64"/>
  <c r="H6" i="64"/>
  <c r="F6" i="64"/>
  <c r="D6" i="64" a="1"/>
  <c r="D6" i="64" s="1"/>
  <c r="F5" i="64"/>
  <c r="H4" i="64"/>
  <c r="G4" i="64"/>
  <c r="G6" i="64" s="1"/>
  <c r="G8" i="64" s="1"/>
  <c r="G10" i="64" s="1"/>
  <c r="G12" i="64" s="1"/>
  <c r="G14" i="64" s="1"/>
  <c r="G16" i="64" s="1"/>
  <c r="G18" i="64" s="1"/>
  <c r="G20" i="64" s="1"/>
  <c r="G22" i="64" s="1"/>
  <c r="G24" i="64" s="1"/>
  <c r="G26" i="64" s="1"/>
  <c r="G28" i="64" s="1"/>
  <c r="G30" i="64" s="1"/>
  <c r="G32" i="64" s="1"/>
  <c r="G34" i="64" s="1"/>
  <c r="G36" i="64" s="1"/>
  <c r="G38" i="64" s="1"/>
  <c r="G40" i="64" s="1"/>
  <c r="G42" i="64" s="1"/>
  <c r="G44" i="64" s="1"/>
  <c r="G50" i="64" s="1"/>
  <c r="G52" i="64" s="1"/>
  <c r="G54" i="64" s="1"/>
  <c r="G56" i="64" s="1"/>
  <c r="G58" i="64" s="1"/>
  <c r="G60" i="64" s="1"/>
  <c r="G62" i="64" s="1"/>
  <c r="G64" i="64" s="1"/>
  <c r="F4" i="64"/>
  <c r="D4" i="64" a="1"/>
  <c r="D4" i="64" s="1"/>
  <c r="F3" i="64"/>
  <c r="F2" i="64"/>
  <c r="D2" i="64" a="1"/>
  <c r="D2" i="64" s="1"/>
  <c r="F65" i="63"/>
  <c r="F64" i="63"/>
  <c r="D64" i="63" a="1"/>
  <c r="D64" i="63" s="1"/>
  <c r="F63" i="63"/>
  <c r="F62" i="63"/>
  <c r="D62" i="63" a="1"/>
  <c r="D62" i="63" s="1"/>
  <c r="F61" i="63"/>
  <c r="F60" i="63"/>
  <c r="D60" i="63" a="1"/>
  <c r="D60" i="63" s="1"/>
  <c r="F59" i="63"/>
  <c r="F58" i="63"/>
  <c r="D58" i="63" a="1"/>
  <c r="D58" i="63" s="1"/>
  <c r="F57" i="63"/>
  <c r="F56" i="63"/>
  <c r="D56" i="63" a="1"/>
  <c r="D56" i="63" s="1"/>
  <c r="F55" i="63"/>
  <c r="F54" i="63"/>
  <c r="D54" i="63" a="1"/>
  <c r="D54" i="63" s="1"/>
  <c r="F53" i="63"/>
  <c r="F52" i="63"/>
  <c r="D52" i="63" a="1"/>
  <c r="D52" i="63" s="1"/>
  <c r="F51" i="63"/>
  <c r="F50" i="63"/>
  <c r="D50" i="63" a="1"/>
  <c r="D50" i="63" s="1"/>
  <c r="F49" i="63"/>
  <c r="F48" i="63"/>
  <c r="D48" i="63" a="1"/>
  <c r="D48" i="63" s="1"/>
  <c r="F47" i="63"/>
  <c r="F46" i="63"/>
  <c r="D46" i="63" a="1"/>
  <c r="D46" i="63" s="1"/>
  <c r="F45" i="63"/>
  <c r="F44" i="63"/>
  <c r="D44" i="63" a="1"/>
  <c r="D44" i="63" s="1"/>
  <c r="F43" i="63"/>
  <c r="F42" i="63"/>
  <c r="D42" i="63" a="1"/>
  <c r="D42" i="63" s="1"/>
  <c r="F41" i="63"/>
  <c r="F40" i="63"/>
  <c r="D40" i="63" a="1"/>
  <c r="D40" i="63" s="1"/>
  <c r="F39" i="63"/>
  <c r="F38" i="63"/>
  <c r="D38" i="63" a="1"/>
  <c r="D38" i="63" s="1"/>
  <c r="N38" i="63" s="1"/>
  <c r="F37" i="63"/>
  <c r="F36" i="63"/>
  <c r="D36" i="63" a="1"/>
  <c r="D36" i="63" s="1"/>
  <c r="F35" i="63"/>
  <c r="F34" i="63"/>
  <c r="D34" i="63" a="1"/>
  <c r="D34" i="63" s="1"/>
  <c r="N35" i="63" s="1"/>
  <c r="F33" i="63"/>
  <c r="F32" i="63"/>
  <c r="D32" i="63" a="1"/>
  <c r="D32" i="63" s="1"/>
  <c r="F31" i="63"/>
  <c r="F30" i="63"/>
  <c r="D30" i="63" a="1"/>
  <c r="D30" i="63" s="1"/>
  <c r="F29" i="63"/>
  <c r="F28" i="63"/>
  <c r="D28" i="63" a="1"/>
  <c r="D28" i="63" s="1"/>
  <c r="F27" i="63"/>
  <c r="F26" i="63"/>
  <c r="D26" i="63" a="1"/>
  <c r="D26" i="63" s="1"/>
  <c r="F25" i="63"/>
  <c r="F24" i="63"/>
  <c r="D24" i="63" a="1"/>
  <c r="D24" i="63" s="1"/>
  <c r="F23" i="63"/>
  <c r="F22" i="63"/>
  <c r="D22" i="63" a="1"/>
  <c r="D22" i="63" s="1"/>
  <c r="F21" i="63"/>
  <c r="F20" i="63"/>
  <c r="D20" i="63" a="1"/>
  <c r="D20" i="63" s="1"/>
  <c r="F19" i="63"/>
  <c r="F18" i="63"/>
  <c r="D18" i="63" a="1"/>
  <c r="D18" i="63" s="1"/>
  <c r="F17" i="63"/>
  <c r="F16" i="63"/>
  <c r="D16" i="63" a="1"/>
  <c r="D16" i="63" s="1"/>
  <c r="F15" i="63"/>
  <c r="F14" i="63"/>
  <c r="D14" i="63" a="1"/>
  <c r="D14" i="63" s="1"/>
  <c r="F13" i="63"/>
  <c r="F12" i="63"/>
  <c r="D12" i="63" a="1"/>
  <c r="D12" i="63" s="1"/>
  <c r="F11" i="63"/>
  <c r="F10" i="63"/>
  <c r="D10" i="63" a="1"/>
  <c r="D10" i="63" s="1"/>
  <c r="F9" i="63"/>
  <c r="F8" i="63"/>
  <c r="D8" i="63" a="1"/>
  <c r="D8" i="63" s="1"/>
  <c r="F7" i="63"/>
  <c r="H6" i="63"/>
  <c r="H10" i="63" s="1"/>
  <c r="H12" i="63" s="1"/>
  <c r="F6" i="63"/>
  <c r="D6" i="63" a="1"/>
  <c r="D6" i="63" s="1"/>
  <c r="N6" i="63" s="1"/>
  <c r="F5" i="63"/>
  <c r="H4" i="63"/>
  <c r="G4" i="63"/>
  <c r="G6" i="63" s="1"/>
  <c r="G8" i="63" s="1"/>
  <c r="G10" i="63" s="1"/>
  <c r="G12" i="63" s="1"/>
  <c r="G14" i="63" s="1"/>
  <c r="G16" i="63" s="1"/>
  <c r="G18" i="63" s="1"/>
  <c r="G20" i="63" s="1"/>
  <c r="G22" i="63" s="1"/>
  <c r="G24" i="63" s="1"/>
  <c r="G26" i="63" s="1"/>
  <c r="G28" i="63" s="1"/>
  <c r="G30" i="63" s="1"/>
  <c r="G32" i="63" s="1"/>
  <c r="G34" i="63" s="1"/>
  <c r="G36" i="63" s="1"/>
  <c r="G38" i="63" s="1"/>
  <c r="G40" i="63" s="1"/>
  <c r="G42" i="63" s="1"/>
  <c r="G44" i="63" s="1"/>
  <c r="F4" i="63"/>
  <c r="D4" i="63" a="1"/>
  <c r="D4" i="63" s="1"/>
  <c r="F3" i="63"/>
  <c r="F2" i="63"/>
  <c r="D2" i="63" a="1"/>
  <c r="D2" i="63" s="1"/>
  <c r="F65" i="62"/>
  <c r="F64" i="62"/>
  <c r="D64" i="62" a="1"/>
  <c r="D64" i="62" s="1"/>
  <c r="F63" i="62"/>
  <c r="F62" i="62"/>
  <c r="D62" i="62" a="1"/>
  <c r="D62" i="62" s="1"/>
  <c r="F61" i="62"/>
  <c r="F60" i="62"/>
  <c r="D60" i="62" a="1"/>
  <c r="D60" i="62" s="1"/>
  <c r="F59" i="62"/>
  <c r="F58" i="62"/>
  <c r="D58" i="62" a="1"/>
  <c r="D58" i="62" s="1"/>
  <c r="F57" i="62"/>
  <c r="F56" i="62"/>
  <c r="D56" i="62" a="1"/>
  <c r="D56" i="62" s="1"/>
  <c r="F55" i="62"/>
  <c r="F54" i="62"/>
  <c r="D54" i="62" a="1"/>
  <c r="D54" i="62" s="1"/>
  <c r="F53" i="62"/>
  <c r="F52" i="62"/>
  <c r="D52" i="62" a="1"/>
  <c r="D52" i="62" s="1"/>
  <c r="F51" i="62"/>
  <c r="F50" i="62"/>
  <c r="D50" i="62" a="1"/>
  <c r="D50" i="62" s="1"/>
  <c r="F49" i="62"/>
  <c r="F48" i="62"/>
  <c r="D48" i="62" a="1"/>
  <c r="D48" i="62" s="1"/>
  <c r="F47" i="62"/>
  <c r="F46" i="62"/>
  <c r="D46" i="62" a="1"/>
  <c r="D46" i="62" s="1"/>
  <c r="F45" i="62"/>
  <c r="F44" i="62"/>
  <c r="D44" i="62" a="1"/>
  <c r="D44" i="62" s="1"/>
  <c r="F43" i="62"/>
  <c r="F42" i="62"/>
  <c r="D42" i="62" a="1"/>
  <c r="D42" i="62" s="1"/>
  <c r="F41" i="62"/>
  <c r="F40" i="62"/>
  <c r="D40" i="62" a="1"/>
  <c r="D40" i="62" s="1"/>
  <c r="F39" i="62"/>
  <c r="F38" i="62"/>
  <c r="D38" i="62" a="1"/>
  <c r="D38" i="62" s="1"/>
  <c r="F37" i="62"/>
  <c r="F36" i="62"/>
  <c r="D36" i="62" a="1"/>
  <c r="D36" i="62" s="1"/>
  <c r="F35" i="62"/>
  <c r="F34" i="62"/>
  <c r="D34" i="62" a="1"/>
  <c r="D34" i="62" s="1"/>
  <c r="F33" i="62"/>
  <c r="F32" i="62"/>
  <c r="D32" i="62" a="1"/>
  <c r="D32" i="62" s="1"/>
  <c r="F31" i="62"/>
  <c r="F30" i="62"/>
  <c r="D30" i="62" a="1"/>
  <c r="D30" i="62" s="1"/>
  <c r="F29" i="62"/>
  <c r="F28" i="62"/>
  <c r="D28" i="62" a="1"/>
  <c r="D28" i="62" s="1"/>
  <c r="F27" i="62"/>
  <c r="F26" i="62"/>
  <c r="D26" i="62" a="1"/>
  <c r="D26" i="62" s="1"/>
  <c r="F25" i="62"/>
  <c r="F24" i="62"/>
  <c r="D24" i="62" a="1"/>
  <c r="D24" i="62" s="1"/>
  <c r="F23" i="62"/>
  <c r="F22" i="62"/>
  <c r="D22" i="62" a="1"/>
  <c r="D22" i="62" s="1"/>
  <c r="F21" i="62"/>
  <c r="F20" i="62"/>
  <c r="D20" i="62" a="1"/>
  <c r="D20" i="62" s="1"/>
  <c r="F19" i="62"/>
  <c r="F18" i="62"/>
  <c r="D18" i="62" a="1"/>
  <c r="D18" i="62" s="1"/>
  <c r="F17" i="62"/>
  <c r="F16" i="62"/>
  <c r="D16" i="62" a="1"/>
  <c r="D16" i="62" s="1"/>
  <c r="F15" i="62"/>
  <c r="F14" i="62"/>
  <c r="D14" i="62" a="1"/>
  <c r="D14" i="62" s="1"/>
  <c r="F13" i="62"/>
  <c r="F12" i="62"/>
  <c r="D12" i="62" a="1"/>
  <c r="D12" i="62" s="1"/>
  <c r="F11" i="62"/>
  <c r="F10" i="62"/>
  <c r="D10" i="62" a="1"/>
  <c r="D10" i="62" s="1"/>
  <c r="F9" i="62"/>
  <c r="F8" i="62"/>
  <c r="D8" i="62" a="1"/>
  <c r="D8" i="62" s="1"/>
  <c r="F7" i="62"/>
  <c r="H6" i="62"/>
  <c r="F6" i="62"/>
  <c r="D6" i="62" a="1"/>
  <c r="D6" i="62" s="1"/>
  <c r="F5" i="62"/>
  <c r="H4" i="62"/>
  <c r="G4" i="62"/>
  <c r="G6" i="62" s="1"/>
  <c r="G8" i="62" s="1"/>
  <c r="G10" i="62" s="1"/>
  <c r="G12" i="62" s="1"/>
  <c r="G14" i="62" s="1"/>
  <c r="G16" i="62" s="1"/>
  <c r="G18" i="62" s="1"/>
  <c r="G20" i="62" s="1"/>
  <c r="G22" i="62" s="1"/>
  <c r="G24" i="62" s="1"/>
  <c r="G26" i="62" s="1"/>
  <c r="G28" i="62" s="1"/>
  <c r="G30" i="62" s="1"/>
  <c r="G32" i="62" s="1"/>
  <c r="G34" i="62" s="1"/>
  <c r="G36" i="62" s="1"/>
  <c r="G38" i="62" s="1"/>
  <c r="G40" i="62" s="1"/>
  <c r="G42" i="62" s="1"/>
  <c r="G44" i="62" s="1"/>
  <c r="G64" i="62" s="1"/>
  <c r="F4" i="62"/>
  <c r="D4" i="62" a="1"/>
  <c r="D4" i="62" s="1"/>
  <c r="F3" i="62"/>
  <c r="F2" i="62"/>
  <c r="D2" i="62" a="1"/>
  <c r="D2" i="62" s="1"/>
  <c r="D25" i="61" a="1"/>
  <c r="D25" i="61" s="1"/>
  <c r="D28" i="61" a="1"/>
  <c r="D28" i="61" s="1"/>
  <c r="F28" i="61"/>
  <c r="I28" i="61"/>
  <c r="F29" i="61"/>
  <c r="I29" i="61"/>
  <c r="F30" i="61"/>
  <c r="I30" i="61"/>
  <c r="D31" i="61" a="1"/>
  <c r="D31" i="61" s="1"/>
  <c r="F31" i="61"/>
  <c r="I31" i="61"/>
  <c r="F32" i="61"/>
  <c r="I32" i="61"/>
  <c r="F33" i="61"/>
  <c r="I33" i="61"/>
  <c r="D34" i="61" a="1"/>
  <c r="D34" i="61" s="1"/>
  <c r="F34" i="61"/>
  <c r="I34" i="61"/>
  <c r="F35" i="61"/>
  <c r="I35" i="61"/>
  <c r="F36" i="61"/>
  <c r="I36" i="61"/>
  <c r="D37" i="61" a="1"/>
  <c r="D37" i="61" s="1"/>
  <c r="I37" i="61"/>
  <c r="D40" i="61" a="1"/>
  <c r="D40" i="61" s="1"/>
  <c r="I40" i="61"/>
  <c r="D43" i="61" a="1"/>
  <c r="D43" i="61" s="1"/>
  <c r="I43" i="61"/>
  <c r="D46" i="61" a="1"/>
  <c r="D46" i="61" s="1"/>
  <c r="F46" i="61"/>
  <c r="I46" i="61"/>
  <c r="F47" i="61"/>
  <c r="I47" i="61"/>
  <c r="F48" i="61"/>
  <c r="I48" i="61"/>
  <c r="D49" i="61" a="1"/>
  <c r="D49" i="61" s="1"/>
  <c r="F49" i="61"/>
  <c r="I49" i="61"/>
  <c r="F50" i="61"/>
  <c r="I50" i="61"/>
  <c r="F51" i="61"/>
  <c r="I51" i="61"/>
  <c r="D52" i="61" a="1"/>
  <c r="D52" i="61" s="1"/>
  <c r="F52" i="61"/>
  <c r="I52" i="61"/>
  <c r="F53" i="61"/>
  <c r="I53" i="61"/>
  <c r="F54" i="61"/>
  <c r="I54" i="61"/>
  <c r="D55" i="61" a="1"/>
  <c r="D55" i="61" s="1"/>
  <c r="F55" i="61"/>
  <c r="I55" i="61"/>
  <c r="F56" i="61"/>
  <c r="I56" i="61"/>
  <c r="F57" i="61"/>
  <c r="I57" i="61"/>
  <c r="D58" i="61" a="1"/>
  <c r="D58" i="61" s="1"/>
  <c r="F58" i="61"/>
  <c r="I58" i="61"/>
  <c r="F59" i="61"/>
  <c r="I59" i="61"/>
  <c r="F60" i="61"/>
  <c r="I60" i="61"/>
  <c r="D61" i="61" a="1"/>
  <c r="D61" i="61" s="1"/>
  <c r="F61" i="61"/>
  <c r="I61" i="61"/>
  <c r="F62" i="61"/>
  <c r="I62" i="61"/>
  <c r="F63" i="61"/>
  <c r="I63" i="61"/>
  <c r="D64" i="61" a="1"/>
  <c r="D64" i="61" s="1"/>
  <c r="A64" i="61" s="1"/>
  <c r="F64" i="61"/>
  <c r="I64" i="61"/>
  <c r="F65" i="61"/>
  <c r="I65" i="61"/>
  <c r="F66" i="61"/>
  <c r="I66" i="61"/>
  <c r="D67" i="61" a="1"/>
  <c r="D67" i="61" s="1"/>
  <c r="F67" i="61"/>
  <c r="I67" i="61"/>
  <c r="F68" i="61"/>
  <c r="I68" i="61"/>
  <c r="F69" i="61"/>
  <c r="I69" i="61"/>
  <c r="D70" i="61" a="1"/>
  <c r="D70" i="61" s="1"/>
  <c r="F70" i="61"/>
  <c r="I70" i="61"/>
  <c r="F71" i="61"/>
  <c r="I71" i="61"/>
  <c r="F72" i="61"/>
  <c r="I72" i="61"/>
  <c r="D73" i="61" a="1"/>
  <c r="D73" i="61" s="1"/>
  <c r="F73" i="61"/>
  <c r="I73" i="61"/>
  <c r="F74" i="61"/>
  <c r="I74" i="61"/>
  <c r="F75" i="61"/>
  <c r="I75" i="61"/>
  <c r="D76" i="61" a="1"/>
  <c r="D76" i="61" s="1"/>
  <c r="F76" i="61"/>
  <c r="I76" i="61"/>
  <c r="F77" i="61"/>
  <c r="I77" i="61"/>
  <c r="F78" i="61"/>
  <c r="I78" i="61"/>
  <c r="D79" i="61" a="1"/>
  <c r="D79" i="61" s="1"/>
  <c r="F79" i="61"/>
  <c r="I79" i="61"/>
  <c r="F80" i="61"/>
  <c r="I80" i="61"/>
  <c r="F81" i="61"/>
  <c r="I81" i="61"/>
  <c r="D82" i="61" a="1"/>
  <c r="D82" i="61" s="1"/>
  <c r="F82" i="61"/>
  <c r="I82" i="61"/>
  <c r="F83" i="61"/>
  <c r="I83" i="61"/>
  <c r="F84" i="61"/>
  <c r="I84" i="61"/>
  <c r="D85" i="61" a="1"/>
  <c r="D85" i="61" s="1"/>
  <c r="F85" i="61"/>
  <c r="I85" i="61"/>
  <c r="F86" i="61"/>
  <c r="I86" i="61"/>
  <c r="F87" i="61"/>
  <c r="I87" i="61"/>
  <c r="D88" i="61" a="1"/>
  <c r="D88" i="61" s="1"/>
  <c r="F88" i="61"/>
  <c r="I88" i="61"/>
  <c r="F89" i="61"/>
  <c r="I89" i="61"/>
  <c r="F90" i="61"/>
  <c r="I90" i="61"/>
  <c r="D91" i="61" a="1"/>
  <c r="D91" i="61" s="1"/>
  <c r="F91" i="61"/>
  <c r="I91" i="61"/>
  <c r="F92" i="61"/>
  <c r="I92" i="61"/>
  <c r="F93" i="61"/>
  <c r="I93" i="61"/>
  <c r="D94" i="61" a="1"/>
  <c r="D94" i="61" s="1"/>
  <c r="A94" i="61" s="1"/>
  <c r="F94" i="61"/>
  <c r="I94" i="61"/>
  <c r="F95" i="61"/>
  <c r="I95" i="61"/>
  <c r="F96" i="61"/>
  <c r="I96" i="61"/>
  <c r="D97" i="61" a="1"/>
  <c r="D97" i="61" s="1"/>
  <c r="F97" i="61"/>
  <c r="I97" i="61"/>
  <c r="F98" i="61"/>
  <c r="I98" i="61"/>
  <c r="F99" i="61"/>
  <c r="I99" i="61"/>
  <c r="D100" i="61" a="1"/>
  <c r="D100" i="61" s="1"/>
  <c r="F100" i="61"/>
  <c r="I100" i="61"/>
  <c r="F101" i="61"/>
  <c r="I101" i="61"/>
  <c r="F102" i="61"/>
  <c r="I102" i="61"/>
  <c r="D103" i="61" a="1"/>
  <c r="D103" i="61" s="1"/>
  <c r="F103" i="61"/>
  <c r="I103" i="61"/>
  <c r="F104" i="61"/>
  <c r="I104" i="61"/>
  <c r="F105" i="61"/>
  <c r="I105" i="61"/>
  <c r="I3" i="61"/>
  <c r="D22" i="61" a="1"/>
  <c r="D22" i="61" s="1"/>
  <c r="D17" i="61" a="1"/>
  <c r="D17" i="61" s="1"/>
  <c r="N18" i="61" s="1"/>
  <c r="F14" i="61"/>
  <c r="F13" i="61"/>
  <c r="F12" i="61"/>
  <c r="D12" i="61" a="1"/>
  <c r="D12" i="61" s="1"/>
  <c r="F9" i="61"/>
  <c r="F8" i="61"/>
  <c r="F7" i="61"/>
  <c r="D7" i="61" a="1"/>
  <c r="D7" i="61" s="1"/>
  <c r="F4" i="61"/>
  <c r="F3" i="61"/>
  <c r="F2" i="61"/>
  <c r="D2" i="61" a="1"/>
  <c r="D2" i="61" s="1"/>
  <c r="N39" i="61" l="1"/>
  <c r="N38" i="61"/>
  <c r="N37" i="61"/>
  <c r="N42" i="61"/>
  <c r="N41" i="61"/>
  <c r="N40" i="61"/>
  <c r="N45" i="61"/>
  <c r="N44" i="61"/>
  <c r="N43" i="61"/>
  <c r="N32" i="63"/>
  <c r="N18" i="63"/>
  <c r="G46" i="63"/>
  <c r="G48" i="63" s="1"/>
  <c r="G50" i="63" s="1"/>
  <c r="G52" i="63" s="1"/>
  <c r="G54" i="63" s="1"/>
  <c r="G56" i="63" s="1"/>
  <c r="G58" i="63" s="1"/>
  <c r="G60" i="63" s="1"/>
  <c r="G62" i="63" s="1"/>
  <c r="G64" i="63" s="1"/>
  <c r="N25" i="64"/>
  <c r="A24" i="64"/>
  <c r="N24" i="63"/>
  <c r="N25" i="63"/>
  <c r="N24" i="61"/>
  <c r="N23" i="61"/>
  <c r="N22" i="61"/>
  <c r="N27" i="61"/>
  <c r="N26" i="61"/>
  <c r="N25" i="61"/>
  <c r="A25" i="61"/>
  <c r="A22" i="61"/>
  <c r="N39" i="64"/>
  <c r="N10" i="64"/>
  <c r="N23" i="64"/>
  <c r="N9" i="63"/>
  <c r="N12" i="63"/>
  <c r="N3" i="63"/>
  <c r="N14" i="62"/>
  <c r="N30" i="62"/>
  <c r="N57" i="63"/>
  <c r="N62" i="63"/>
  <c r="N32" i="64"/>
  <c r="N10" i="63"/>
  <c r="N33" i="62"/>
  <c r="N17" i="64"/>
  <c r="H8" i="63"/>
  <c r="H14" i="63"/>
  <c r="H18" i="63" s="1"/>
  <c r="N31" i="63"/>
  <c r="N20" i="62"/>
  <c r="N51" i="62"/>
  <c r="N7" i="63"/>
  <c r="N52" i="62"/>
  <c r="N38" i="62"/>
  <c r="N13" i="62"/>
  <c r="N38" i="64"/>
  <c r="N59" i="62"/>
  <c r="N45" i="62"/>
  <c r="N64" i="63"/>
  <c r="N46" i="63"/>
  <c r="N47" i="63"/>
  <c r="N13" i="64"/>
  <c r="N12" i="64"/>
  <c r="N31" i="64"/>
  <c r="N30" i="64"/>
  <c r="N2" i="63"/>
  <c r="N23" i="63"/>
  <c r="N39" i="63"/>
  <c r="N65" i="63"/>
  <c r="N15" i="62"/>
  <c r="N42" i="62"/>
  <c r="N58" i="62"/>
  <c r="N43" i="62"/>
  <c r="N13" i="63"/>
  <c r="N41" i="64"/>
  <c r="N53" i="62"/>
  <c r="N21" i="62"/>
  <c r="N40" i="64"/>
  <c r="N34" i="63"/>
  <c r="N22" i="63"/>
  <c r="N37" i="62"/>
  <c r="N58" i="63"/>
  <c r="N59" i="63"/>
  <c r="N41" i="62"/>
  <c r="N40" i="62"/>
  <c r="N29" i="62"/>
  <c r="N28" i="62"/>
  <c r="N21" i="63"/>
  <c r="N20" i="63"/>
  <c r="N27" i="62"/>
  <c r="N26" i="62"/>
  <c r="N18" i="64"/>
  <c r="N19" i="64"/>
  <c r="N27" i="63"/>
  <c r="N26" i="63"/>
  <c r="N47" i="64"/>
  <c r="N46" i="64"/>
  <c r="N6" i="62"/>
  <c r="N7" i="62"/>
  <c r="N52" i="63"/>
  <c r="N53" i="63"/>
  <c r="N15" i="63"/>
  <c r="N14" i="63"/>
  <c r="N41" i="63"/>
  <c r="N40" i="63"/>
  <c r="N29" i="63"/>
  <c r="N28" i="63"/>
  <c r="N47" i="62"/>
  <c r="N46" i="62"/>
  <c r="N35" i="64"/>
  <c r="N34" i="64"/>
  <c r="N5" i="63"/>
  <c r="N4" i="63"/>
  <c r="N61" i="62"/>
  <c r="N60" i="62"/>
  <c r="N6" i="64"/>
  <c r="N27" i="64"/>
  <c r="N26" i="64"/>
  <c r="N23" i="62"/>
  <c r="N22" i="62"/>
  <c r="N50" i="62"/>
  <c r="N44" i="63"/>
  <c r="N7" i="64"/>
  <c r="N63" i="62"/>
  <c r="N62" i="62"/>
  <c r="N28" i="64"/>
  <c r="N29" i="64"/>
  <c r="N25" i="62"/>
  <c r="N24" i="62"/>
  <c r="N45" i="63"/>
  <c r="N61" i="63"/>
  <c r="N60" i="63"/>
  <c r="N5" i="62"/>
  <c r="N4" i="62"/>
  <c r="H10" i="64"/>
  <c r="H8" i="64"/>
  <c r="N32" i="62"/>
  <c r="N49" i="64"/>
  <c r="N48" i="64"/>
  <c r="N37" i="63"/>
  <c r="N36" i="63"/>
  <c r="N35" i="62"/>
  <c r="N34" i="62"/>
  <c r="N56" i="63"/>
  <c r="N50" i="64"/>
  <c r="N51" i="64"/>
  <c r="N3" i="62"/>
  <c r="N2" i="62"/>
  <c r="N63" i="63"/>
  <c r="N37" i="64"/>
  <c r="N36" i="64"/>
  <c r="N12" i="62"/>
  <c r="N33" i="63"/>
  <c r="N16" i="63"/>
  <c r="N17" i="63"/>
  <c r="H8" i="62"/>
  <c r="H10" i="62"/>
  <c r="N15" i="64"/>
  <c r="N14" i="64"/>
  <c r="N17" i="62"/>
  <c r="N16" i="62"/>
  <c r="N44" i="62"/>
  <c r="N57" i="62"/>
  <c r="N56" i="62"/>
  <c r="N8" i="63"/>
  <c r="N48" i="63"/>
  <c r="N49" i="63"/>
  <c r="N5" i="64"/>
  <c r="N4" i="64"/>
  <c r="N49" i="62"/>
  <c r="N48" i="62"/>
  <c r="N42" i="63"/>
  <c r="N43" i="63"/>
  <c r="N24" i="64"/>
  <c r="N54" i="62"/>
  <c r="N55" i="62"/>
  <c r="N3" i="64"/>
  <c r="N2" i="64"/>
  <c r="N21" i="64"/>
  <c r="N20" i="64"/>
  <c r="N19" i="62"/>
  <c r="N18" i="62"/>
  <c r="N8" i="62"/>
  <c r="N9" i="62"/>
  <c r="N64" i="62"/>
  <c r="N39" i="62"/>
  <c r="N65" i="62"/>
  <c r="N19" i="63"/>
  <c r="N42" i="64"/>
  <c r="N43" i="64"/>
  <c r="N52" i="64"/>
  <c r="N11" i="62"/>
  <c r="N10" i="62"/>
  <c r="N51" i="63"/>
  <c r="N50" i="63"/>
  <c r="N33" i="64"/>
  <c r="N54" i="63"/>
  <c r="N55" i="63"/>
  <c r="N8" i="64"/>
  <c r="N11" i="63"/>
  <c r="N36" i="62"/>
  <c r="N45" i="64"/>
  <c r="N64" i="64"/>
  <c r="N22" i="64"/>
  <c r="N30" i="63"/>
  <c r="N16" i="64"/>
  <c r="N31" i="62"/>
  <c r="N11" i="64"/>
  <c r="N44" i="64"/>
  <c r="N76" i="61"/>
  <c r="N84" i="61"/>
  <c r="N59" i="61"/>
  <c r="N64" i="61"/>
  <c r="N31" i="61"/>
  <c r="N93" i="61"/>
  <c r="N91" i="61"/>
  <c r="N92" i="61"/>
  <c r="A61" i="61"/>
  <c r="N61" i="61"/>
  <c r="N60" i="61"/>
  <c r="N55" i="61"/>
  <c r="N53" i="61"/>
  <c r="N54" i="61"/>
  <c r="N52" i="61"/>
  <c r="N34" i="61"/>
  <c r="N35" i="61"/>
  <c r="N36" i="61"/>
  <c r="A73" i="61"/>
  <c r="N73" i="61"/>
  <c r="N75" i="61"/>
  <c r="N74" i="61"/>
  <c r="N89" i="61"/>
  <c r="N88" i="61"/>
  <c r="A79" i="61"/>
  <c r="N79" i="61"/>
  <c r="N80" i="61"/>
  <c r="N81" i="61"/>
  <c r="N65" i="61"/>
  <c r="N58" i="61"/>
  <c r="N94" i="61"/>
  <c r="A85" i="61"/>
  <c r="N86" i="61"/>
  <c r="N85" i="61"/>
  <c r="N87" i="61"/>
  <c r="N71" i="61"/>
  <c r="N70" i="61"/>
  <c r="N47" i="61"/>
  <c r="N46" i="61"/>
  <c r="N48" i="61"/>
  <c r="N99" i="61"/>
  <c r="N97" i="61"/>
  <c r="N98" i="61"/>
  <c r="N104" i="61"/>
  <c r="N103" i="61"/>
  <c r="N49" i="61"/>
  <c r="N50" i="61"/>
  <c r="N51" i="61"/>
  <c r="A88" i="61"/>
  <c r="N33" i="61"/>
  <c r="N63" i="61"/>
  <c r="N57" i="61"/>
  <c r="N32" i="61"/>
  <c r="N90" i="61"/>
  <c r="N62" i="61"/>
  <c r="N96" i="61"/>
  <c r="N56" i="61"/>
  <c r="N95" i="61"/>
  <c r="N67" i="61"/>
  <c r="N68" i="61"/>
  <c r="A67" i="61"/>
  <c r="N69" i="61"/>
  <c r="N29" i="61"/>
  <c r="N30" i="61"/>
  <c r="N28" i="61"/>
  <c r="N100" i="61"/>
  <c r="N102" i="61"/>
  <c r="A100" i="61"/>
  <c r="N101" i="61"/>
  <c r="A76" i="61"/>
  <c r="A97" i="61"/>
  <c r="A91" i="61"/>
  <c r="N83" i="61"/>
  <c r="A70" i="61"/>
  <c r="N77" i="61"/>
  <c r="N82" i="61"/>
  <c r="N66" i="61"/>
  <c r="A82" i="61"/>
  <c r="A103" i="61"/>
  <c r="A58" i="61"/>
  <c r="N78" i="61"/>
  <c r="N105" i="61"/>
  <c r="N72" i="61"/>
  <c r="N3" i="61"/>
  <c r="N8" i="61"/>
  <c r="N13" i="61"/>
  <c r="H16" i="63" l="1"/>
  <c r="H22" i="63"/>
  <c r="H20" i="63"/>
  <c r="H14" i="64"/>
  <c r="H12" i="64"/>
  <c r="H14" i="62"/>
  <c r="H12" i="62"/>
  <c r="H16" i="62" l="1"/>
  <c r="H18" i="62"/>
  <c r="H16" i="64"/>
  <c r="H18" i="64"/>
  <c r="H26" i="63"/>
  <c r="H24" i="63"/>
  <c r="H30" i="63" l="1"/>
  <c r="H28" i="63"/>
  <c r="H20" i="64"/>
  <c r="H22" i="64"/>
  <c r="H22" i="62"/>
  <c r="H20" i="62"/>
  <c r="H32" i="63" l="1"/>
  <c r="H34" i="63"/>
  <c r="H24" i="62"/>
  <c r="H26" i="62"/>
  <c r="H26" i="64"/>
  <c r="H24" i="64"/>
  <c r="H38" i="63" l="1"/>
  <c r="H36" i="63"/>
  <c r="H30" i="64"/>
  <c r="H28" i="64"/>
  <c r="H30" i="62"/>
  <c r="H28" i="62"/>
  <c r="H34" i="62" l="1"/>
  <c r="H32" i="62"/>
  <c r="H34" i="64"/>
  <c r="H32" i="64"/>
  <c r="H42" i="63"/>
  <c r="H46" i="63" s="1"/>
  <c r="H40" i="63"/>
  <c r="H50" i="63" l="1"/>
  <c r="H48" i="63"/>
  <c r="H36" i="62"/>
  <c r="H38" i="62"/>
  <c r="H44" i="63"/>
  <c r="H36" i="64"/>
  <c r="H38" i="64"/>
  <c r="H52" i="63" l="1"/>
  <c r="H54" i="63"/>
  <c r="H42" i="64"/>
  <c r="H46" i="64" s="1"/>
  <c r="H48" i="64" s="1"/>
  <c r="H40" i="64"/>
  <c r="H42" i="62"/>
  <c r="H46" i="62" s="1"/>
  <c r="H40" i="62"/>
  <c r="H50" i="62" l="1"/>
  <c r="H48" i="62"/>
  <c r="H56" i="63"/>
  <c r="H58" i="63"/>
  <c r="H44" i="64"/>
  <c r="H44" i="62"/>
  <c r="H52" i="62" l="1"/>
  <c r="H54" i="62"/>
  <c r="H60" i="63"/>
  <c r="H62" i="63"/>
  <c r="H50" i="64"/>
  <c r="H56" i="62" l="1"/>
  <c r="H58" i="62"/>
  <c r="H64" i="63"/>
  <c r="H54" i="64"/>
  <c r="H52" i="64"/>
  <c r="H60" i="62" l="1"/>
  <c r="H62" i="62"/>
  <c r="H58" i="64"/>
  <c r="H56" i="64"/>
  <c r="H62" i="64" l="1"/>
  <c r="H64" i="64" s="1"/>
  <c r="H60" i="64"/>
  <c r="H64" i="62"/>
  <c r="N28" i="1" l="1"/>
  <c r="M28" i="1"/>
  <c r="L28" i="1"/>
  <c r="K28" i="1"/>
  <c r="N27" i="1"/>
  <c r="M27" i="1"/>
  <c r="L27" i="1"/>
  <c r="K2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F46" i="1" l="1"/>
  <c r="I46" i="1" s="1"/>
  <c r="E46" i="1"/>
  <c r="D46" i="1"/>
  <c r="F45" i="1"/>
  <c r="I45" i="1" s="1"/>
  <c r="E45" i="1"/>
  <c r="D45" i="1"/>
  <c r="F44" i="1"/>
  <c r="I44" i="1" s="1"/>
  <c r="E44" i="1"/>
  <c r="D44" i="1"/>
  <c r="F43" i="1"/>
  <c r="I43" i="1" s="1"/>
  <c r="E43" i="1"/>
  <c r="D43" i="1"/>
  <c r="F42" i="1"/>
  <c r="I42" i="1" s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I32" i="1" s="1"/>
  <c r="E32" i="1"/>
  <c r="D32" i="1"/>
  <c r="F31" i="1"/>
  <c r="E31" i="1"/>
  <c r="D31" i="1"/>
  <c r="F30" i="1"/>
  <c r="I30" i="1" s="1"/>
  <c r="E30" i="1"/>
  <c r="D30" i="1"/>
  <c r="F29" i="1"/>
  <c r="I29" i="1" s="1"/>
  <c r="E29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F26" i="1"/>
  <c r="I26" i="1" s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I12" i="1" s="1"/>
  <c r="E12" i="1"/>
  <c r="F11" i="1"/>
  <c r="I11" i="1" s="1"/>
  <c r="E11" i="1"/>
  <c r="F10" i="1"/>
  <c r="I10" i="1" s="1"/>
  <c r="E10" i="1"/>
  <c r="F9" i="1"/>
  <c r="I9" i="1" s="1"/>
  <c r="E9" i="1"/>
  <c r="I13" i="1" l="1"/>
  <c r="L13" i="1" s="1"/>
  <c r="I16" i="1"/>
  <c r="I25" i="1"/>
  <c r="I17" i="1"/>
  <c r="I40" i="1"/>
  <c r="L40" i="1" s="1"/>
  <c r="N46" i="1"/>
  <c r="M46" i="1"/>
  <c r="L46" i="1"/>
  <c r="K46" i="1"/>
  <c r="I18" i="1"/>
  <c r="M18" i="1" s="1"/>
  <c r="I19" i="1"/>
  <c r="M19" i="1" s="1"/>
  <c r="M32" i="1"/>
  <c r="L32" i="1"/>
  <c r="K32" i="1"/>
  <c r="N32" i="1"/>
  <c r="N45" i="1"/>
  <c r="M45" i="1"/>
  <c r="L45" i="1"/>
  <c r="K45" i="1"/>
  <c r="N42" i="1"/>
  <c r="M42" i="1"/>
  <c r="L42" i="1"/>
  <c r="K42" i="1"/>
  <c r="M43" i="1"/>
  <c r="N43" i="1"/>
  <c r="L43" i="1"/>
  <c r="K43" i="1"/>
  <c r="N29" i="1"/>
  <c r="L29" i="1"/>
  <c r="K29" i="1"/>
  <c r="M29" i="1"/>
  <c r="N30" i="1"/>
  <c r="M30" i="1"/>
  <c r="K30" i="1"/>
  <c r="L30" i="1"/>
  <c r="K44" i="1"/>
  <c r="M44" i="1"/>
  <c r="L44" i="1"/>
  <c r="N44" i="1"/>
  <c r="N11" i="1"/>
  <c r="M11" i="1"/>
  <c r="L11" i="1"/>
  <c r="K11" i="1"/>
  <c r="L12" i="1"/>
  <c r="N12" i="1"/>
  <c r="M12" i="1"/>
  <c r="K12" i="1"/>
  <c r="K9" i="1"/>
  <c r="L9" i="1"/>
  <c r="M9" i="1"/>
  <c r="N9" i="1"/>
  <c r="N10" i="1"/>
  <c r="M10" i="1"/>
  <c r="L10" i="1"/>
  <c r="K10" i="1"/>
  <c r="M13" i="1"/>
  <c r="M25" i="1"/>
  <c r="L25" i="1"/>
  <c r="K25" i="1"/>
  <c r="K16" i="1"/>
  <c r="N16" i="1"/>
  <c r="L16" i="1"/>
  <c r="L26" i="1"/>
  <c r="K26" i="1"/>
  <c r="M26" i="1"/>
  <c r="I21" i="1"/>
  <c r="M21" i="1" s="1"/>
  <c r="I24" i="1"/>
  <c r="I36" i="1"/>
  <c r="I14" i="1"/>
  <c r="K14" i="1" s="1"/>
  <c r="I38" i="1"/>
  <c r="N38" i="1" s="1"/>
  <c r="I39" i="1"/>
  <c r="I34" i="1"/>
  <c r="I22" i="1"/>
  <c r="I23" i="1"/>
  <c r="M23" i="1" s="1"/>
  <c r="I15" i="1"/>
  <c r="I35" i="1"/>
  <c r="N35" i="1" s="1"/>
  <c r="I20" i="1"/>
  <c r="M20" i="1" s="1"/>
  <c r="I37" i="1"/>
  <c r="N37" i="1" s="1"/>
  <c r="I31" i="1"/>
  <c r="I33" i="1"/>
  <c r="I41" i="1"/>
  <c r="Q2" i="1"/>
  <c r="Q3" i="1"/>
  <c r="R2" i="1"/>
  <c r="P2" i="1"/>
  <c r="O2" i="1"/>
  <c r="N2" i="1"/>
  <c r="M2" i="1"/>
  <c r="L2" i="1"/>
  <c r="K2" i="1"/>
  <c r="P3" i="1"/>
  <c r="R3" i="1"/>
  <c r="O3" i="1"/>
  <c r="M3" i="1"/>
  <c r="N3" i="1"/>
  <c r="K3" i="1"/>
  <c r="L3" i="1"/>
  <c r="M22" i="1"/>
  <c r="K15" i="1"/>
  <c r="N36" i="1"/>
  <c r="N41" i="1"/>
  <c r="N34" i="1"/>
  <c r="L31" i="1"/>
  <c r="N33" i="1"/>
  <c r="M24" i="1"/>
  <c r="N26" i="1"/>
  <c r="N25" i="1"/>
  <c r="M17" i="1"/>
  <c r="N40" i="1"/>
  <c r="N39" i="1"/>
  <c r="L18" i="1"/>
  <c r="M16" i="1"/>
  <c r="N18" i="1" l="1"/>
  <c r="N13" i="1"/>
  <c r="M40" i="1"/>
  <c r="K40" i="1"/>
  <c r="K18" i="1"/>
  <c r="K17" i="1"/>
  <c r="N17" i="1"/>
  <c r="L17" i="1"/>
  <c r="K34" i="1"/>
  <c r="L34" i="1"/>
  <c r="K41" i="1"/>
  <c r="L41" i="1"/>
  <c r="M41" i="1"/>
  <c r="L33" i="1"/>
  <c r="M33" i="1"/>
  <c r="N31" i="1"/>
  <c r="M31" i="1"/>
  <c r="K31" i="1"/>
  <c r="M37" i="1"/>
  <c r="K37" i="1"/>
  <c r="M38" i="1"/>
  <c r="L38" i="1"/>
  <c r="K38" i="1"/>
  <c r="L35" i="1"/>
  <c r="K35" i="1"/>
  <c r="M39" i="1"/>
  <c r="L39" i="1"/>
  <c r="K39" i="1"/>
  <c r="K19" i="1"/>
  <c r="L36" i="1"/>
  <c r="K36" i="1"/>
  <c r="N19" i="1"/>
  <c r="N15" i="1"/>
  <c r="L15" i="1"/>
  <c r="K22" i="1"/>
  <c r="L22" i="1"/>
  <c r="N14" i="1"/>
  <c r="L14" i="1"/>
  <c r="K20" i="1"/>
  <c r="N20" i="1"/>
  <c r="L24" i="1"/>
  <c r="K24" i="1"/>
  <c r="L23" i="1"/>
  <c r="K23" i="1"/>
  <c r="L21" i="1"/>
  <c r="K21" i="1"/>
  <c r="L20" i="1"/>
  <c r="K33" i="1"/>
  <c r="L37" i="1"/>
  <c r="M36" i="1"/>
  <c r="M35" i="1"/>
  <c r="M34" i="1"/>
  <c r="L19" i="1"/>
  <c r="K13" i="1"/>
  <c r="N23" i="1"/>
  <c r="M15" i="1"/>
  <c r="N22" i="1"/>
  <c r="M14" i="1"/>
  <c r="N21" i="1"/>
  <c r="N24" i="1"/>
  <c r="M4" i="1" l="1"/>
  <c r="L4" i="1"/>
  <c r="N4" i="1"/>
  <c r="K4" i="1"/>
  <c r="K5" i="1" l="1"/>
  <c r="K6" i="1" s="1"/>
  <c r="N5" i="1"/>
  <c r="N6" i="1" s="1"/>
  <c r="M5" i="1"/>
  <c r="M6" i="1" s="1"/>
  <c r="L5" i="1"/>
  <c r="L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<sst xmlns="http://schemas.openxmlformats.org/spreadsheetml/2006/main" count="3735" uniqueCount="729">
  <si>
    <t>Doc Title:</t>
  </si>
  <si>
    <t>Doc No:</t>
  </si>
  <si>
    <t>Rev:</t>
  </si>
  <si>
    <t>Project:</t>
  </si>
  <si>
    <t>Description:</t>
  </si>
  <si>
    <t>Revision</t>
  </si>
  <si>
    <t>Date</t>
  </si>
  <si>
    <t>Description</t>
  </si>
  <si>
    <t>Chk</t>
  </si>
  <si>
    <t>App</t>
  </si>
  <si>
    <t>Beamline</t>
  </si>
  <si>
    <t>B10E</t>
  </si>
  <si>
    <t>HeXI</t>
  </si>
  <si>
    <t>SUMMARY:</t>
  </si>
  <si>
    <t>AI</t>
  </si>
  <si>
    <t>AO</t>
  </si>
  <si>
    <t>DI</t>
  </si>
  <si>
    <t>DO</t>
  </si>
  <si>
    <t>BUS</t>
  </si>
  <si>
    <t>CPU</t>
  </si>
  <si>
    <t>COM</t>
  </si>
  <si>
    <t>SPR</t>
  </si>
  <si>
    <t>TOTAL MODULES:</t>
  </si>
  <si>
    <t>TOTAL IO:</t>
  </si>
  <si>
    <t>TOTAL USED:</t>
  </si>
  <si>
    <t>TOTAL SPARE</t>
  </si>
  <si>
    <t>% SPARE</t>
  </si>
  <si>
    <t>Chassis</t>
  </si>
  <si>
    <t>SLOT</t>
  </si>
  <si>
    <t>MODULE</t>
  </si>
  <si>
    <t>TYPE</t>
  </si>
  <si>
    <t>Channels</t>
  </si>
  <si>
    <t>Chassis &amp; Slot</t>
  </si>
  <si>
    <t>SHEET NAME</t>
  </si>
  <si>
    <t>X-CPU_31</t>
  </si>
  <si>
    <t>X-COM_01</t>
  </si>
  <si>
    <t>X-AI_32_02</t>
  </si>
  <si>
    <t>X-DI_32_05</t>
  </si>
  <si>
    <t>X-SPARE</t>
  </si>
  <si>
    <t>X-DO_24_01A</t>
  </si>
  <si>
    <t>TAG</t>
  </si>
  <si>
    <t>DESCRIPTION</t>
  </si>
  <si>
    <t>SIGNAL TYPE</t>
  </si>
  <si>
    <t>CHASSIS &amp;SLOT No</t>
  </si>
  <si>
    <t>DEVICE LOCATION</t>
  </si>
  <si>
    <t>DEVICE TAG</t>
  </si>
  <si>
    <t>WIRE COLOUR</t>
  </si>
  <si>
    <t>WIRE NUMBER</t>
  </si>
  <si>
    <t>TERMINAL BLOCK</t>
  </si>
  <si>
    <t>TERM. No.</t>
  </si>
  <si>
    <t>REV.</t>
  </si>
  <si>
    <t>B10E-PS-OXMON-01</t>
  </si>
  <si>
    <t>Oxygen Monitor 01</t>
  </si>
  <si>
    <t>4-20mA</t>
  </si>
  <si>
    <t>X-AI 32 02</t>
  </si>
  <si>
    <t>X-CB 008 01</t>
  </si>
  <si>
    <t>HUTCH</t>
  </si>
  <si>
    <t>B10E-PS-OXMON-02</t>
  </si>
  <si>
    <t>Oxygen Monitor 02</t>
  </si>
  <si>
    <t>B10E-PS-OXMON-03</t>
  </si>
  <si>
    <t>B10E-PS-OXMON-04</t>
  </si>
  <si>
    <t>B10E-PS-IT-01</t>
  </si>
  <si>
    <t>Current Transmitter L1 (E. Source)</t>
  </si>
  <si>
    <t>ELECTRON SOURCE</t>
  </si>
  <si>
    <t>B10E-PS-IT-02</t>
  </si>
  <si>
    <t>Current Transmitter L2 (E. Source)</t>
  </si>
  <si>
    <t>B10E-PS-IT-03</t>
  </si>
  <si>
    <t>Current Transmitter L3 (E. Source)</t>
  </si>
  <si>
    <t>B10E-PS-VT-01</t>
  </si>
  <si>
    <t>Voltage Transmitter L1 (E. Source)</t>
  </si>
  <si>
    <t>B10E-PS-VT-02</t>
  </si>
  <si>
    <t>Voltage Transmitter L2 (E. Source)</t>
  </si>
  <si>
    <t>B10E-PS-VT-03</t>
  </si>
  <si>
    <t>Voltage Transmitter L3 (E. Source)</t>
  </si>
  <si>
    <t>B10E-PS-RDMND-01</t>
  </si>
  <si>
    <t>EXTERNAL</t>
  </si>
  <si>
    <t>B10E-PS-RADMN-01</t>
  </si>
  <si>
    <t>B10E-PS-RDMNR-01</t>
  </si>
  <si>
    <t>B10E-PS-RDMND-02</t>
  </si>
  <si>
    <t>B10E-PS-RADMN-02</t>
  </si>
  <si>
    <t>B10E-PS-RDMNR-02</t>
  </si>
  <si>
    <t>B10E-PS-FNFLT-01</t>
  </si>
  <si>
    <t>Himax Fan Fault</t>
  </si>
  <si>
    <t>24Vdc</t>
  </si>
  <si>
    <t>1</t>
  </si>
  <si>
    <t>X-DI 32 05</t>
  </si>
  <si>
    <t>X-CB 005 01</t>
  </si>
  <si>
    <t>LOGIC SOLVER</t>
  </si>
  <si>
    <t>B10E-PS-IOC-01:SYSTEMP</t>
  </si>
  <si>
    <t>Rack Internal Temperature Alarm</t>
  </si>
  <si>
    <t>2</t>
  </si>
  <si>
    <t>0</t>
  </si>
  <si>
    <t>B10E-PS-PSU-01:A1:FAULT</t>
  </si>
  <si>
    <t>24VDC PSU A1 Fault</t>
  </si>
  <si>
    <t>B10E-PS-PSU-01:A2:FAULT</t>
  </si>
  <si>
    <t>24VDC PSU A2 Fault</t>
  </si>
  <si>
    <t>4</t>
  </si>
  <si>
    <t>B10E-PS-PSU-01:B1:FAULT</t>
  </si>
  <si>
    <t>24VDC PSU B1 Fault</t>
  </si>
  <si>
    <t>B10E-PS-PSU-01:B2:FAULT</t>
  </si>
  <si>
    <t>24VDC PSU B2 Fault</t>
  </si>
  <si>
    <t>6</t>
  </si>
  <si>
    <t>8</t>
  </si>
  <si>
    <t>B10E-PS-KEY-03</t>
  </si>
  <si>
    <t>Beamline Enable Key - Rack (Electron Source Enable/Disable)</t>
  </si>
  <si>
    <t>10</t>
  </si>
  <si>
    <t>SIS Control Room Reset - CH1 - Beam Off Buttons</t>
  </si>
  <si>
    <t>SIS Control Room Reset - CH2 - System</t>
  </si>
  <si>
    <t>12</t>
  </si>
  <si>
    <t>ZCP</t>
  </si>
  <si>
    <t>SIS Control Room Reset - CH3 - RadMon</t>
  </si>
  <si>
    <t>SIS Control Room Reset - CH4 - Gas / O2</t>
  </si>
  <si>
    <t>14</t>
  </si>
  <si>
    <t>B10E-PS-KEY-01</t>
  </si>
  <si>
    <t>Hutch Enable Key (Interlocks Chicane Doors)</t>
  </si>
  <si>
    <t>B10E-PS-PKP-01</t>
  </si>
  <si>
    <t>B10E-PS-KEY-02</t>
  </si>
  <si>
    <t>Beamline Enable Key - ZCP (Electron Source Enable/Disable)</t>
  </si>
  <si>
    <t>16</t>
  </si>
  <si>
    <t>B10E-PS-PKPE-01</t>
  </si>
  <si>
    <t>B10E-PS-BOB-01:A</t>
  </si>
  <si>
    <t>Beam Off Button 01</t>
  </si>
  <si>
    <t>B10E-PS-BOB-01:B</t>
  </si>
  <si>
    <t>18</t>
  </si>
  <si>
    <t>B10E-PS-SCR-01</t>
  </si>
  <si>
    <t>Search Card Reader</t>
  </si>
  <si>
    <t xml:space="preserve"> B10E-PS-ASBF-01</t>
  </si>
  <si>
    <t>Area Search Button Final</t>
  </si>
  <si>
    <t>20</t>
  </si>
  <si>
    <t>B10E-PS-OR-01</t>
  </si>
  <si>
    <t>Open / Reset Pushbutton</t>
  </si>
  <si>
    <t>Blue Light Test Switch (3 Position Switch - #1)</t>
  </si>
  <si>
    <t>22</t>
  </si>
  <si>
    <t>Light Curtain Test Switch (3 Position Switch - #2)</t>
  </si>
  <si>
    <t>EXTERNAL (VIA ZCP)</t>
  </si>
  <si>
    <t>B10E-PS-WLON-01</t>
  </si>
  <si>
    <t>White Lights Enable Switch (Momentary Pushbutton)</t>
  </si>
  <si>
    <t>24</t>
  </si>
  <si>
    <t>White Lights Enable (Relay Feedback)</t>
  </si>
  <si>
    <t>B10E-PS-LCRx-01</t>
  </si>
  <si>
    <t>Light Curtain Receiver 01</t>
  </si>
  <si>
    <t>26</t>
  </si>
  <si>
    <t>Power Contactor 01 Feedback</t>
  </si>
  <si>
    <t>B10E-PS-CON-01</t>
  </si>
  <si>
    <t>Power Contactor 02 Feedback</t>
  </si>
  <si>
    <t>28</t>
  </si>
  <si>
    <t>B10E-PS-CON-02</t>
  </si>
  <si>
    <t>Power Contactor 03 Feedback</t>
  </si>
  <si>
    <t>B10E-PS-CON-03</t>
  </si>
  <si>
    <t>Power Contactor 04 Feedback</t>
  </si>
  <si>
    <t>30</t>
  </si>
  <si>
    <t>B10E-PS-CON-04</t>
  </si>
  <si>
    <t>Power Contactor 05 Feedback</t>
  </si>
  <si>
    <t>B10E-PS-CON-05</t>
  </si>
  <si>
    <t>32</t>
  </si>
  <si>
    <t>Radiation Monitor 01</t>
  </si>
  <si>
    <t>Radiation Monitor 02</t>
  </si>
  <si>
    <t>B10E-PS-GADC-01</t>
  </si>
  <si>
    <t>General Access Door Closed Position Switch 1 (N/O when Door Open)</t>
  </si>
  <si>
    <t>B10E-PS-DS-01</t>
  </si>
  <si>
    <t>B10E-PS-GADL-01</t>
  </si>
  <si>
    <t>General Access Door Locked Position Switch 1</t>
  </si>
  <si>
    <t>B10E-PS-GADC-02</t>
  </si>
  <si>
    <t>General Access Door Closed Position Switch 2  (N/O when Door Open)</t>
  </si>
  <si>
    <t>B10E-PS-DS-02</t>
  </si>
  <si>
    <t>B10E-PS-GADL-02</t>
  </si>
  <si>
    <t>General Access Door Locked Position Switch 2</t>
  </si>
  <si>
    <t>B10E-PS-GADC-03</t>
  </si>
  <si>
    <t>General Access Door Closed Position Switch 3  (N/O when Door Open)</t>
  </si>
  <si>
    <t>B10E-PS-DS-03</t>
  </si>
  <si>
    <t>B10E-PS-GADC-04</t>
  </si>
  <si>
    <t>B10E-PS-DS-04</t>
  </si>
  <si>
    <t xml:space="preserve">General Access Gate Locked Position Switch 1 </t>
  </si>
  <si>
    <t>B10E-PS-GADC-05</t>
  </si>
  <si>
    <t>General Access Gate Closed Position Switch 2  (N/O when Gate Open)</t>
  </si>
  <si>
    <t>B10E-PS-DS-05</t>
  </si>
  <si>
    <t>B10E-PS-GADL-04</t>
  </si>
  <si>
    <t>B10E-PS-GADC-06</t>
  </si>
  <si>
    <t>General Access Gate Closed Position Switch 3  (N/O when Gate Open)</t>
  </si>
  <si>
    <t>B10E-PS-SADC-01</t>
  </si>
  <si>
    <t>Service Access Door Closed Position Switch 1 (N/O when Door Open)</t>
  </si>
  <si>
    <t>B10E-PS-SADL-01</t>
  </si>
  <si>
    <t>Service Access Door Locked Position Switch 1</t>
  </si>
  <si>
    <t>B10E-PS-SADC-02</t>
  </si>
  <si>
    <t>Service Access Door Closed Position Switch 2 (N/O when Door Open)</t>
  </si>
  <si>
    <t>B10E-PS-SADL-02</t>
  </si>
  <si>
    <t>Service Access Door Locked Position Switch 2</t>
  </si>
  <si>
    <t>B10E-PS-DS-08</t>
  </si>
  <si>
    <t>B10E-PS-SADC-03</t>
  </si>
  <si>
    <t>Service Access Door Closed Position Switch 3 (N/O when Door Open)</t>
  </si>
  <si>
    <t>B10E-PS-DS-09</t>
  </si>
  <si>
    <t>B10E-PS-SADC-04</t>
  </si>
  <si>
    <t>Service Access Door Closed Position Switch 4 (N/O when Door Open)</t>
  </si>
  <si>
    <t>B10E-PS-DS-10</t>
  </si>
  <si>
    <t>B10E-PS-SADC-05</t>
  </si>
  <si>
    <t>Service Access Door Closed Position Switch 5 (N/O when Door Open)</t>
  </si>
  <si>
    <t>B10E-PS-DS-11</t>
  </si>
  <si>
    <t>B10E-PS-DS-12</t>
  </si>
  <si>
    <t>B10E-PS-BOB-02:A</t>
  </si>
  <si>
    <t>Beam Off Button 02</t>
  </si>
  <si>
    <t>B10E-PS-BOB-02</t>
  </si>
  <si>
    <t>B10E-PS-BOB-02:B</t>
  </si>
  <si>
    <t>B10E-PS-BOB-03:A</t>
  </si>
  <si>
    <t>Beam Off Button 03</t>
  </si>
  <si>
    <t>B10E-PS-BOB-03</t>
  </si>
  <si>
    <t>B10E-PS-BOB-03:B</t>
  </si>
  <si>
    <t>B10E-PS-BOB-04:A</t>
  </si>
  <si>
    <t>Beam Off Button 04</t>
  </si>
  <si>
    <t>B10E-PS-BOB-04</t>
  </si>
  <si>
    <t>B10E-PS-BOB-04:B</t>
  </si>
  <si>
    <t>B10E-PS-BOB-05:A</t>
  </si>
  <si>
    <t>Beam Off Button 05</t>
  </si>
  <si>
    <t>B10E-PS-BOB-05</t>
  </si>
  <si>
    <t>B10E-PS-BOB-05:B</t>
  </si>
  <si>
    <t>B10E-PS-BOB-06:A</t>
  </si>
  <si>
    <t>Beam Off Button 06</t>
  </si>
  <si>
    <t>B10E-PS-BOB-06:B</t>
  </si>
  <si>
    <t>B10E-PS-BOB-07:A</t>
  </si>
  <si>
    <t>Beam Off Button 07</t>
  </si>
  <si>
    <t>B10E-PS-BOB-07:B</t>
  </si>
  <si>
    <t>B10E-PS-BOB-08:A</t>
  </si>
  <si>
    <t>Beam Off Button 08</t>
  </si>
  <si>
    <t>B10E-PS-BOB-08:B</t>
  </si>
  <si>
    <t xml:space="preserve"> B10E-PS-ASB-01</t>
  </si>
  <si>
    <t>Area Search Button 01</t>
  </si>
  <si>
    <t xml:space="preserve"> B10E-PS-ASB-02</t>
  </si>
  <si>
    <t>Area Search Button 02</t>
  </si>
  <si>
    <t xml:space="preserve"> B10E-PS-ASB-03</t>
  </si>
  <si>
    <t>Area Search Button 03</t>
  </si>
  <si>
    <t xml:space="preserve"> B10E-PS-ASB-04</t>
  </si>
  <si>
    <t>Area Search Button 04</t>
  </si>
  <si>
    <t>B10E-PS-KEY-01:SOL</t>
  </si>
  <si>
    <t>X-DO 24 01</t>
  </si>
  <si>
    <t>X-CB 009 01</t>
  </si>
  <si>
    <t>B10E-PS-KEY-02:SOL</t>
  </si>
  <si>
    <t>B10E-PS-OR-01:LED</t>
  </si>
  <si>
    <t>Door Open / Reset Pushbutton LED</t>
  </si>
  <si>
    <t>3</t>
  </si>
  <si>
    <t xml:space="preserve"> B10E-PS-ASBF-01:LED</t>
  </si>
  <si>
    <t>Area Search Button Final LED</t>
  </si>
  <si>
    <t>B10E-PS-WLON-01:LED</t>
  </si>
  <si>
    <t>White Lights Enable Switch LED</t>
  </si>
  <si>
    <t>5</t>
  </si>
  <si>
    <t>B10E-PS-LCTx-01</t>
  </si>
  <si>
    <t>B10E-PS-WLT-01:EN</t>
  </si>
  <si>
    <t>White Lights Enable (Relay)</t>
  </si>
  <si>
    <t>7</t>
  </si>
  <si>
    <t>B10E-PS-ANNOPN-01:A</t>
  </si>
  <si>
    <t>Hutch Status Annunciator - OPEN A</t>
  </si>
  <si>
    <t>B10E-PS-ANNUN-01</t>
  </si>
  <si>
    <t>B10E-PS-ANNOPN-01:B</t>
  </si>
  <si>
    <t>Hutch Status Annunciator - OPEN B</t>
  </si>
  <si>
    <t>9</t>
  </si>
  <si>
    <t>B10E-PS-ANNRES-01:A</t>
  </si>
  <si>
    <t>Hutch Status Annunciator - RESTRICTED A</t>
  </si>
  <si>
    <t>B10E-PS-ANNRES-01:B</t>
  </si>
  <si>
    <t>Hutch Status Annunciator - RESTRICTED B</t>
  </si>
  <si>
    <t>11</t>
  </si>
  <si>
    <t>B10E-PS-ANNSTB-01:A</t>
  </si>
  <si>
    <t>Hutch Status Annunciator - STANDBY A</t>
  </si>
  <si>
    <t>B10E-PS-ANNSTB-01:B</t>
  </si>
  <si>
    <t>Hutch Status Annunciator - STANDBY B</t>
  </si>
  <si>
    <t>13</t>
  </si>
  <si>
    <t>B10E-PS-ANNBON-01:A</t>
  </si>
  <si>
    <t>Hutch Status Annunciator - BEAM ON A</t>
  </si>
  <si>
    <t>B10E-PS-ANNBON-01:B</t>
  </si>
  <si>
    <t>Hutch Status Annunciator - BEAM ON B</t>
  </si>
  <si>
    <t>15</t>
  </si>
  <si>
    <t>B10E-PS-CON-01:EN</t>
  </si>
  <si>
    <t>Power Contactor 01</t>
  </si>
  <si>
    <t>17</t>
  </si>
  <si>
    <t>B10E-PS-CON-02:EN</t>
  </si>
  <si>
    <t>Power Contactor 02</t>
  </si>
  <si>
    <t>B10E-PS-CON-03:EN</t>
  </si>
  <si>
    <t>Power Contactor 03</t>
  </si>
  <si>
    <t>19</t>
  </si>
  <si>
    <t>B10E-PS-CON-04:EN</t>
  </si>
  <si>
    <t>Power Contactor 04</t>
  </si>
  <si>
    <t>B10E-PS-CON-05:EN</t>
  </si>
  <si>
    <t>Power Contactor 05</t>
  </si>
  <si>
    <t>21</t>
  </si>
  <si>
    <t>B10E-PS-SOVLN2-01</t>
  </si>
  <si>
    <t>Liquid Nitrogen Shuttoff Valve</t>
  </si>
  <si>
    <t>23</t>
  </si>
  <si>
    <t xml:space="preserve"> B10E-PS-ASB-01:LED</t>
  </si>
  <si>
    <t>Area Search Pushbutton LED 01</t>
  </si>
  <si>
    <t xml:space="preserve"> B10E-PS-ASB-02:LED</t>
  </si>
  <si>
    <t>Area Search Pushbutton LED 02</t>
  </si>
  <si>
    <t xml:space="preserve"> B10E-PS-ASB-03:LED</t>
  </si>
  <si>
    <t>Area Search Pushbutton LED 03</t>
  </si>
  <si>
    <t xml:space="preserve"> B10E-PS-ASB-04:LED</t>
  </si>
  <si>
    <t>Area Search Pushbutton LED 04</t>
  </si>
  <si>
    <t>B10E-PS-SP01-01</t>
  </si>
  <si>
    <t>Beacon/Sounder 01 Message 1 (LSB)</t>
  </si>
  <si>
    <t>B10E-PS-SP-01</t>
  </si>
  <si>
    <t>B10E-PS-SP02-01</t>
  </si>
  <si>
    <t>Beacon/Sounder 01 Message 2 (MSB)</t>
  </si>
  <si>
    <t>B10E-PS-SP03-01</t>
  </si>
  <si>
    <t>Beacon/Sounder 01 Strobe</t>
  </si>
  <si>
    <t>B10E-PS-SP01-02</t>
  </si>
  <si>
    <t>B10E-PS-SP-02</t>
  </si>
  <si>
    <t>B10E-PS-SP02-02</t>
  </si>
  <si>
    <t>B10E-PS-SP03-02</t>
  </si>
  <si>
    <t>Beacon/Sounder 02 Strobe</t>
  </si>
  <si>
    <t>B10E-PS-SP01-03</t>
  </si>
  <si>
    <t>Beacon/Sounder 03 Message 1</t>
  </si>
  <si>
    <t>B10E-PS-SP-03</t>
  </si>
  <si>
    <t>B10E-PS-SP02-03</t>
  </si>
  <si>
    <t>Beacon/Sounder 03 Message 2</t>
  </si>
  <si>
    <t>B10E-PS-SP03-03</t>
  </si>
  <si>
    <t>Beacon/Sounder 03 Strobe</t>
  </si>
  <si>
    <t>B10E-PS-BLUEL-01:A</t>
  </si>
  <si>
    <t>B10E-PS-BLUEL-01</t>
  </si>
  <si>
    <t>B10E-PS-BLUEL-01:B</t>
  </si>
  <si>
    <t>B10E-PS-BLUEL-02:A</t>
  </si>
  <si>
    <t>B10E-PS-BLUEL-02</t>
  </si>
  <si>
    <t>B10E-PS-BLUEL-02:B</t>
  </si>
  <si>
    <t>B10E-PS-BOBI-01:A</t>
  </si>
  <si>
    <t>B10E-PS-BOBI-01</t>
  </si>
  <si>
    <t>B10E-PS-BOBI-01:B</t>
  </si>
  <si>
    <t>B10E-PS-BOBI-02:A</t>
  </si>
  <si>
    <t>B10E-PS-BOBI-02</t>
  </si>
  <si>
    <t>B10E-PS-BOBI-02:B</t>
  </si>
  <si>
    <t>B10E-PS-BONI-01:A</t>
  </si>
  <si>
    <t>B10E-PS-BONI-01</t>
  </si>
  <si>
    <t>B10E-PS-BONI-01:B</t>
  </si>
  <si>
    <t>B10E-PS-BLUEL-03:A</t>
  </si>
  <si>
    <t>B10E-PS-BLUEL-03</t>
  </si>
  <si>
    <t>B10E-PS-BLUEL-03:B</t>
  </si>
  <si>
    <t>B10E-PS-BLUEL-04:A</t>
  </si>
  <si>
    <t>B10E-PS-BLUEL-04</t>
  </si>
  <si>
    <t>B10E-PS-BLUEL-04:B</t>
  </si>
  <si>
    <t>B10E-PS-BOBI-03:A</t>
  </si>
  <si>
    <t>B10E-PS-BOBI-03</t>
  </si>
  <si>
    <t>B10E-PS-BOBI-03:B</t>
  </si>
  <si>
    <t>B10E-PS-BOBI-04:A</t>
  </si>
  <si>
    <t>B10E-PS-BOBI-04</t>
  </si>
  <si>
    <t>B10E-PS-BOBI-04:B</t>
  </si>
  <si>
    <t>B10E-PS-BOBI-05:A</t>
  </si>
  <si>
    <t>B10E-PS-BOBI-05</t>
  </si>
  <si>
    <t>B10E-PS-BOBI-05:B</t>
  </si>
  <si>
    <t>B10E-PS-SOL-01</t>
  </si>
  <si>
    <t>B10E-PS-SOL-02</t>
  </si>
  <si>
    <t>B10E-PS-SOL-03</t>
  </si>
  <si>
    <t>B10E-PS-SOL-04</t>
  </si>
  <si>
    <t>B10E-PS-SOL-05</t>
  </si>
  <si>
    <t>B10E-PS-DS-07</t>
  </si>
  <si>
    <t>B10E-PS-SOL-06</t>
  </si>
  <si>
    <t>B10E-PS-SP01-04</t>
  </si>
  <si>
    <t>B10E-PS-SP-04</t>
  </si>
  <si>
    <t>B10E-PS-SP02-04</t>
  </si>
  <si>
    <t>B10E-PS-SP01-05</t>
  </si>
  <si>
    <t>B10E-PS-SP-05</t>
  </si>
  <si>
    <t>B10E-PS-SP02-05</t>
  </si>
  <si>
    <t>B10E-PS-SP01-06</t>
  </si>
  <si>
    <t>B10E-PS-SP-06</t>
  </si>
  <si>
    <t>B10E-PS-SP02-06</t>
  </si>
  <si>
    <t>B10E-PS-SP01-07</t>
  </si>
  <si>
    <t>B10E-PS-SP-07</t>
  </si>
  <si>
    <t>B10E-PS-SP02-07</t>
  </si>
  <si>
    <t>Module Ref</t>
  </si>
  <si>
    <t>Type</t>
  </si>
  <si>
    <t>X-SB_01</t>
  </si>
  <si>
    <t>System Bus</t>
  </si>
  <si>
    <t>X-CPU_01</t>
  </si>
  <si>
    <t>Processor 01</t>
  </si>
  <si>
    <t>Processor 31</t>
  </si>
  <si>
    <t>Communications</t>
  </si>
  <si>
    <t>Spare Slot</t>
  </si>
  <si>
    <t>Analogue Input 32 Channels</t>
  </si>
  <si>
    <t>X-AO_16_01</t>
  </si>
  <si>
    <t>Analogue Output 16 Channels</t>
  </si>
  <si>
    <t>Digital Input 32 Channels</t>
  </si>
  <si>
    <t>Digital Output 24 Channels</t>
  </si>
  <si>
    <t>B10E-PS-STAT-1</t>
  </si>
  <si>
    <t>Light Curtain Test Function</t>
  </si>
  <si>
    <t>White</t>
  </si>
  <si>
    <t>Wired Spare Input</t>
  </si>
  <si>
    <t>Grey</t>
  </si>
  <si>
    <t>Wired Spare Output</t>
  </si>
  <si>
    <t>STAT-1</t>
  </si>
  <si>
    <t>B10E-PS-SWFLT-01</t>
  </si>
  <si>
    <t>Network Switch Fault</t>
  </si>
  <si>
    <t>SWITCH1</t>
  </si>
  <si>
    <t>FAULT1</t>
  </si>
  <si>
    <t>FAULT2</t>
  </si>
  <si>
    <t>WIRE TYPE</t>
  </si>
  <si>
    <t>SIGNAL</t>
  </si>
  <si>
    <t>CB TERM.</t>
  </si>
  <si>
    <t>AI1</t>
  </si>
  <si>
    <t>DI1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</si>
  <si>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</si>
  <si>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</si>
  <si>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</si>
  <si>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</si>
  <si>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</si>
  <si>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</si>
  <si>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</si>
  <si>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</si>
  <si>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</si>
  <si>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</si>
  <si>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</si>
  <si>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</si>
  <si>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</si>
  <si>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</si>
  <si>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</si>
  <si>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</si>
  <si>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</si>
  <si>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</si>
  <si>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</si>
  <si>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</si>
  <si>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</si>
  <si>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</si>
  <si>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</si>
  <si>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</si>
  <si>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</si>
  <si>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</si>
  <si>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</si>
  <si>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</si>
  <si>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</si>
  <si>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</si>
  <si>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</si>
  <si>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</si>
  <si>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</si>
  <si>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</si>
  <si>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</si>
  <si>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</si>
  <si>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</si>
  <si>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</si>
  <si>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</si>
  <si>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</si>
  <si>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</si>
  <si>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</si>
  <si>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</si>
  <si>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</si>
  <si>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</si>
  <si>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</si>
  <si>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</si>
  <si>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</si>
  <si>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 xml:space="preserve">0.75mm² H05Z-K </t>
  </si>
  <si>
    <t xml:space="preserve">0.5mm² H05Z-K </t>
  </si>
  <si>
    <t>DEVICE</t>
  </si>
  <si>
    <t>DEVICE TERM. OUT</t>
  </si>
  <si>
    <t>DEVICE TERM. IN</t>
  </si>
  <si>
    <t>A1</t>
  </si>
  <si>
    <t>A2</t>
  </si>
  <si>
    <t>1/L1</t>
  </si>
  <si>
    <t>2/T1</t>
  </si>
  <si>
    <t>3/L2</t>
  </si>
  <si>
    <t>4/T2</t>
  </si>
  <si>
    <t>Red</t>
  </si>
  <si>
    <t>CON1/:4</t>
  </si>
  <si>
    <t>B10E-PS-IOC-01:BOB:RESET</t>
  </si>
  <si>
    <t>B10E-PS-IOC-01:SYS:RESET</t>
  </si>
  <si>
    <t>B10E-PS-IOC-01:RDMN:RESET</t>
  </si>
  <si>
    <t>B10E-PS-IOC-01:GAS:RESET</t>
  </si>
  <si>
    <t>B10E-PS-BLT-01</t>
  </si>
  <si>
    <t>B10E-PS-LCT-01</t>
  </si>
  <si>
    <t>B10E-PS-WLT-01</t>
  </si>
  <si>
    <t>B10E-PS-FAN-01</t>
  </si>
  <si>
    <t>B10E-PS-PSU-01:A1</t>
  </si>
  <si>
    <t>B10E-PS-PSU-01:A2</t>
  </si>
  <si>
    <t>B10E-PS-PSU-01:B1</t>
  </si>
  <si>
    <t>B10E-PS-PSU-01:B2</t>
  </si>
  <si>
    <t>B10E-PS-SWITCH-01</t>
  </si>
  <si>
    <t>DI2</t>
  </si>
  <si>
    <t>B10E-PS-BOB-06</t>
  </si>
  <si>
    <t>B10E-PS-BOB-07</t>
  </si>
  <si>
    <t>B10E-PS-BOB-08</t>
  </si>
  <si>
    <t>B10E-PS-CON-01:FB</t>
  </si>
  <si>
    <t>B10E-PS-CON-02:FB</t>
  </si>
  <si>
    <t>B10E-PS-CON-03:FB</t>
  </si>
  <si>
    <t>B10E-PS-CON-04:FB</t>
  </si>
  <si>
    <t>B10E-PS-CON-05:FB</t>
  </si>
  <si>
    <t>SPDO-013/23</t>
  </si>
  <si>
    <t>DO1</t>
  </si>
  <si>
    <t>Channel. No.</t>
  </si>
  <si>
    <t>Signal</t>
  </si>
  <si>
    <t>CONNECTION BOARD</t>
  </si>
  <si>
    <t>Loop Type</t>
  </si>
  <si>
    <t>Brown (tri cable)</t>
  </si>
  <si>
    <t>X-OXMON</t>
  </si>
  <si>
    <t>White (tri cable)</t>
  </si>
  <si>
    <t>Green (tri cable)</t>
  </si>
  <si>
    <t>X-INTF07</t>
  </si>
  <si>
    <t>X-RADMN</t>
  </si>
  <si>
    <t>SPAI-005/15</t>
  </si>
  <si>
    <t>X-SPAI</t>
  </si>
  <si>
    <t>SPAI-005/16</t>
  </si>
  <si>
    <t>Channel No.</t>
  </si>
  <si>
    <t>3 x 0.5mm² LSZH</t>
  </si>
  <si>
    <t>FAN-0</t>
  </si>
  <si>
    <t>PSU-A1</t>
  </si>
  <si>
    <t>PSU-A2</t>
  </si>
  <si>
    <t>PSU-B1</t>
  </si>
  <si>
    <t>PSU-B2</t>
  </si>
  <si>
    <t>CON-1</t>
  </si>
  <si>
    <t>X-SPDI</t>
  </si>
  <si>
    <t>CCR</t>
  </si>
  <si>
    <t>B10E-PS-INTF-08</t>
  </si>
  <si>
    <t>X-INTF08</t>
  </si>
  <si>
    <t>LOCAL CONTROL ROOM</t>
  </si>
  <si>
    <t>X-KEY</t>
  </si>
  <si>
    <t>X-ZCP</t>
  </si>
  <si>
    <t>X-DS01</t>
  </si>
  <si>
    <t>X-DS02</t>
  </si>
  <si>
    <t>X-DS03</t>
  </si>
  <si>
    <t>General Access Gate Closed Position Switch 1  (N/O when Gate Open)</t>
  </si>
  <si>
    <t>X-DS04</t>
  </si>
  <si>
    <t>X-DS05</t>
  </si>
  <si>
    <t>B10E-PS-DS-06</t>
  </si>
  <si>
    <t>X-DS06</t>
  </si>
  <si>
    <t>X-DS07</t>
  </si>
  <si>
    <t>X-DS08</t>
  </si>
  <si>
    <t>X-DS09</t>
  </si>
  <si>
    <t>X-DS10</t>
  </si>
  <si>
    <t>X-DS11</t>
  </si>
  <si>
    <t>B10E-PS-BOB-01</t>
  </si>
  <si>
    <t>X-BOB</t>
  </si>
  <si>
    <t>X-ASB</t>
  </si>
  <si>
    <t>Wired Spare Input (RESERVED)</t>
  </si>
  <si>
    <t>B10E-PS-GADL-05</t>
  </si>
  <si>
    <t>B10E-PS-SOVLN2-01:OP</t>
  </si>
  <si>
    <t>Liquid Nitrogen Shuttoff Valve OPEN</t>
  </si>
  <si>
    <t>X-SOVLN2</t>
  </si>
  <si>
    <t>B10E-PS-SOVLN2-01:CL</t>
  </si>
  <si>
    <t>Liquid Nitrogen Shuttoff Valve CLOSED</t>
  </si>
  <si>
    <t>X-SPDO</t>
  </si>
  <si>
    <t>X-SP</t>
  </si>
  <si>
    <t>O2/SF6 Alarm Beacon 01 (Red LED)</t>
  </si>
  <si>
    <t>O2/SF6 Healthy Beacon 01 (Green LED)</t>
  </si>
  <si>
    <t>X-SP01</t>
  </si>
  <si>
    <t>X-ANNUN</t>
  </si>
  <si>
    <t>Hutch Enable Keyswitch Solenoid</t>
  </si>
  <si>
    <t>Beamline Enable Keyswitch Solenoid</t>
  </si>
  <si>
    <t>B10E-PS-CON-06</t>
  </si>
  <si>
    <t>X-BLUEL</t>
  </si>
  <si>
    <t>B10E-PS-BLUEL-06</t>
  </si>
  <si>
    <t>Blue Light 06 -A</t>
  </si>
  <si>
    <t>B10E-PS-BLUEL-06:A</t>
  </si>
  <si>
    <t>B10E-PS-BLUEL-05</t>
  </si>
  <si>
    <t>Blue Light 05 -A</t>
  </si>
  <si>
    <t>B10E-PS-BLUEL-05:A</t>
  </si>
  <si>
    <t>Blue Light 04 -A</t>
  </si>
  <si>
    <t>Blue Light 03 -A</t>
  </si>
  <si>
    <t>Blue Light 02 -A</t>
  </si>
  <si>
    <t>Blue Light 01 -A</t>
  </si>
  <si>
    <t>O2/SF6 Alarm Beacon 02 (RED LED)</t>
  </si>
  <si>
    <t>O2/SF6 Healthy Beacon 02 (GREEN LED)</t>
  </si>
  <si>
    <t>X-SP02</t>
  </si>
  <si>
    <t>Beacon/Sounder 02 Message 2 (MSB)</t>
  </si>
  <si>
    <t>Beacon/Sounder 02 Message 1 (LSB)</t>
  </si>
  <si>
    <t>Blue Light 06 -B</t>
  </si>
  <si>
    <t>B10E-PS-BLUEL-06:B</t>
  </si>
  <si>
    <t>Blue Light 05 -B</t>
  </si>
  <si>
    <t>B10E-PS-BLUEL-05:B</t>
  </si>
  <si>
    <t>Blue Light 04 -B</t>
  </si>
  <si>
    <t>Blue Light 03 -B</t>
  </si>
  <si>
    <t>Blue Light 02 -B</t>
  </si>
  <si>
    <t>Blue Light 01 -B</t>
  </si>
  <si>
    <t>O2/SF6 Alarm Beacon 04 (RED LED)</t>
  </si>
  <si>
    <t>O2/SF6 Healthy Beacon 04 (GREEN LED)</t>
  </si>
  <si>
    <t>O2/SF6 Alarm Beacon 03 (RED LED)</t>
  </si>
  <si>
    <t>O2/SF6 Healthy Beacon 03 (GREEN LED)</t>
  </si>
  <si>
    <t>X-BOBI</t>
  </si>
  <si>
    <t>Beam On Indicator 01 -A</t>
  </si>
  <si>
    <t>Beam Off Button Indicator 05 -A</t>
  </si>
  <si>
    <t>Beam Off Button Indicator 04 -A</t>
  </si>
  <si>
    <t>Beam Off Button Indicator 03 -A</t>
  </si>
  <si>
    <t>Beam Off Button Indicator 02 -A</t>
  </si>
  <si>
    <t>Beam Off Button Indicator 01 -A</t>
  </si>
  <si>
    <t>X-SP03</t>
  </si>
  <si>
    <t>Lock Service Access Door Switch 2</t>
  </si>
  <si>
    <t>Lock Service Access Door Switch 1</t>
  </si>
  <si>
    <t>Lock General Access Gate Switch 2</t>
  </si>
  <si>
    <t>Lock General Access Gate Switch 1</t>
  </si>
  <si>
    <t>Lock General Access Door Switch 2</t>
  </si>
  <si>
    <t>Lock General Access Door Switch 1</t>
  </si>
  <si>
    <t>Beam On Indicator 01 -B</t>
  </si>
  <si>
    <t>Beam Off Button Indicator 05 -B</t>
  </si>
  <si>
    <t>Beam Off Button Indicator 04 -B</t>
  </si>
  <si>
    <t>Beam Off Button Indicator 03 -B</t>
  </si>
  <si>
    <t>Beam Off Button Indicator 02 -B</t>
  </si>
  <si>
    <t>Beam Off Button Indicator 01 -B</t>
  </si>
  <si>
    <t>CHANNEL NO.</t>
  </si>
  <si>
    <t>(H4116)</t>
  </si>
  <si>
    <t>HeXI I/O Schedule</t>
  </si>
  <si>
    <t>C15862H-HEXI-IOS</t>
  </si>
  <si>
    <t>Client:</t>
  </si>
  <si>
    <t>Diamond Light Source Limited</t>
  </si>
  <si>
    <t>HIMax System</t>
  </si>
  <si>
    <t>Safety Instrumented System for Three Flagship Beamlines and HeXI</t>
  </si>
  <si>
    <t>SC Ref:</t>
  </si>
  <si>
    <t>PO No:</t>
  </si>
  <si>
    <t>C15862H</t>
  </si>
  <si>
    <t>B10 E - HeXI Safety Instrumented System</t>
  </si>
  <si>
    <t xml:space="preserve"> I/O Schedule </t>
  </si>
  <si>
    <t>First Issue</t>
  </si>
  <si>
    <t>CW</t>
  </si>
  <si>
    <t>By</t>
  </si>
  <si>
    <t>Carrington Field Street | Stockport | Cheshire | SK1 3JN</t>
  </si>
  <si>
    <t>Tel: 0161 429 4500 | Fax: 0161 476 3095 | Email: admin@sellacontrols.com | Web: www.sellacontrols.com</t>
  </si>
  <si>
    <t>X-WLT</t>
  </si>
  <si>
    <t>B10E-PS-ASBF-01</t>
  </si>
  <si>
    <t>B10E-PS-BLLCT-01</t>
  </si>
  <si>
    <t>SPDI-008/3</t>
  </si>
  <si>
    <t>Wired Spare Input (Reserved)</t>
  </si>
  <si>
    <t>SPDI-008/6</t>
  </si>
  <si>
    <t>SPDI-008/9</t>
  </si>
  <si>
    <t>SPDI-008/11</t>
  </si>
  <si>
    <t>SPDI-008/21</t>
  </si>
  <si>
    <t>SPDI-008/22</t>
  </si>
  <si>
    <t>B10E-PS-ASB-01</t>
  </si>
  <si>
    <t>B10E-PS-ASB-02</t>
  </si>
  <si>
    <t>B10E-PS-ASB-03</t>
  </si>
  <si>
    <t>B10E-PS-ASB-04</t>
  </si>
  <si>
    <t>SPDI-008/29</t>
  </si>
  <si>
    <t>SPDI-008/30</t>
  </si>
  <si>
    <t>SPDI-008/31</t>
  </si>
  <si>
    <t>SPDI-008/32</t>
  </si>
  <si>
    <t>SPDI-009/3</t>
  </si>
  <si>
    <t>SPDI-009/6</t>
  </si>
  <si>
    <t>SPDI-009/9</t>
  </si>
  <si>
    <t>SPDI-009/11</t>
  </si>
  <si>
    <t>SPDI-009/32</t>
  </si>
  <si>
    <t>SPDO-013/24</t>
  </si>
  <si>
    <t>SPDO-016/24</t>
  </si>
  <si>
    <t>CON-6</t>
  </si>
  <si>
    <t>12L-/14</t>
  </si>
  <si>
    <t>12L+/14</t>
  </si>
  <si>
    <t>AI2</t>
  </si>
  <si>
    <t>12L+/15</t>
  </si>
  <si>
    <t>12L-/15</t>
  </si>
  <si>
    <t xml:space="preserve">SEE </t>
  </si>
  <si>
    <t>DWG 73</t>
  </si>
  <si>
    <t>DWG 72</t>
  </si>
  <si>
    <t>9001537/8046970/9003503</t>
  </si>
  <si>
    <t>KS-1</t>
  </si>
  <si>
    <t>Orange</t>
  </si>
  <si>
    <t xml:space="preserve">Oxygen Monitor 03 </t>
  </si>
  <si>
    <t>Oxygen Monitor 04</t>
  </si>
  <si>
    <t>58</t>
  </si>
  <si>
    <t>59</t>
  </si>
  <si>
    <t>60</t>
  </si>
  <si>
    <t>64</t>
  </si>
  <si>
    <t>65</t>
  </si>
  <si>
    <t>66</t>
  </si>
  <si>
    <t>B10E-PS-UPS-01</t>
  </si>
  <si>
    <t>UPS Feedback 01</t>
  </si>
  <si>
    <t>B10E-PS-UPS-02</t>
  </si>
  <si>
    <t>UPS Feedback 02</t>
  </si>
  <si>
    <t>X-UPS</t>
  </si>
  <si>
    <t>Removed</t>
  </si>
  <si>
    <t>Added</t>
  </si>
  <si>
    <t>Change wire size</t>
  </si>
  <si>
    <t>Client Mods</t>
  </si>
  <si>
    <t xml:space="preserve"> </t>
  </si>
  <si>
    <t>EF</t>
  </si>
  <si>
    <t>NPB</t>
  </si>
  <si>
    <t>PSU-A3</t>
  </si>
  <si>
    <t>PSU-B3</t>
  </si>
  <si>
    <t>B10E-PS-PSU-01:A3:FAULT</t>
  </si>
  <si>
    <t>24VDC PSU A3 Fault</t>
  </si>
  <si>
    <t>B10E-PS-PSU-01:B3FAULT</t>
  </si>
  <si>
    <t>24VDC PSU B3 Fault</t>
  </si>
  <si>
    <t>Add</t>
  </si>
  <si>
    <t>Moved</t>
  </si>
  <si>
    <t>Change term</t>
  </si>
  <si>
    <t>change to spare</t>
  </si>
  <si>
    <t>change term</t>
  </si>
  <si>
    <t>Changed</t>
  </si>
  <si>
    <t>term change</t>
  </si>
  <si>
    <t>B10E-PS-KEY-04</t>
  </si>
  <si>
    <t>Software Download/Program Enable Keyswitch</t>
  </si>
  <si>
    <t>0/1</t>
  </si>
  <si>
    <t>31</t>
  </si>
  <si>
    <t>11c</t>
  </si>
  <si>
    <t>12c</t>
  </si>
  <si>
    <t>10c</t>
  </si>
  <si>
    <t>36</t>
  </si>
  <si>
    <t>37</t>
  </si>
  <si>
    <t xml:space="preserve">2.5mm² H07Z-K </t>
  </si>
  <si>
    <t>13L+</t>
  </si>
  <si>
    <t>14L+</t>
  </si>
  <si>
    <t>13L-</t>
  </si>
  <si>
    <t>14L-</t>
  </si>
  <si>
    <t>CON1/:2</t>
  </si>
  <si>
    <t>B10E-PS-CON-06:FB</t>
  </si>
  <si>
    <t>Power Contactor 06 Feedback (3 Phase RF Power)</t>
  </si>
  <si>
    <t>B10E-PS-CON-07:FB</t>
  </si>
  <si>
    <t>Power Contactor 07 Feedback (3 Phase RF Power)</t>
  </si>
  <si>
    <t>B10E-PS-CON-08:FB</t>
  </si>
  <si>
    <t>Power Contactor 08 Feedback (3 Phase RF Power)</t>
  </si>
  <si>
    <t>B10E-PS-CON-09:FB</t>
  </si>
  <si>
    <t>Power Contactor 09 Feedback (1 Phase RF Drive)</t>
  </si>
  <si>
    <t>B10E-PS-CON-10:FB</t>
  </si>
  <si>
    <t>Power Contactor 10 Feedback (1 Phase RF Drive)</t>
  </si>
  <si>
    <t>B10E-PS-CON-07</t>
  </si>
  <si>
    <t>B10E-PS-CON-08</t>
  </si>
  <si>
    <t>B10E-PS-CON-09</t>
  </si>
  <si>
    <t>B10E-PS-CON-10</t>
  </si>
  <si>
    <t>009/S27+</t>
  </si>
  <si>
    <t>009/DI27+</t>
  </si>
  <si>
    <t>009/S28+</t>
  </si>
  <si>
    <t>009/DI28+</t>
  </si>
  <si>
    <t>009/S29+</t>
  </si>
  <si>
    <t>009/DI29+</t>
  </si>
  <si>
    <t>009/S30+</t>
  </si>
  <si>
    <t>009/DI30+</t>
  </si>
  <si>
    <t>009/S31+</t>
  </si>
  <si>
    <t>009/DI31+</t>
  </si>
  <si>
    <t>0/2</t>
  </si>
  <si>
    <t>New DI</t>
  </si>
  <si>
    <t>HVEE Interlock</t>
  </si>
  <si>
    <t>B10E-PS-CON-11</t>
  </si>
  <si>
    <t>B10E-PS-CUST-01</t>
  </si>
  <si>
    <t>Tag change</t>
  </si>
  <si>
    <t>B10E-PS-CON-06:EN</t>
  </si>
  <si>
    <t>Power Contactor 06 (3 Phase RF Power)</t>
  </si>
  <si>
    <t>B10E-PS-CON-07:EN</t>
  </si>
  <si>
    <t>Power Contactor 07 (3 Phase RF Power)</t>
  </si>
  <si>
    <t>B10E-PS-CON-08:EN</t>
  </si>
  <si>
    <t>Power Contactor 08 (3 Phase RF Power)</t>
  </si>
  <si>
    <t>Power Contactor 09 (1 Phase RF Drive)</t>
  </si>
  <si>
    <t>Power Contactor 10 (1 Phase RF Drive)</t>
  </si>
  <si>
    <t>38</t>
  </si>
  <si>
    <t>Rewire</t>
  </si>
  <si>
    <t>B10E-PS-CON-09:EN</t>
  </si>
  <si>
    <t>B10E-PS-CON-10:EN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</si>
</sst>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2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rgb="FF002060"/>
      <name val="Aptos Narrow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Aptos Narrow"/>
      <family val="2"/>
      <scheme val="minor"/>
    </font>
    <font>
      <sz val="10"/>
      <color theme="8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theme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theme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hair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theme="1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thick">
        <color auto="1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15" fillId="0" borderId="0"/>
    <xf numFmtId="0" fontId="27" fillId="0" borderId="0" applyNumberFormat="0" applyFill="0" applyBorder="0" applyAlignment="0" applyProtection="0"/>
    <xf numFmtId="0" fontId="15" fillId="0" borderId="0"/>
  </cellStyleXfs>
  <cellXfs count="436">
    <xf numFmtId="0" fontId="0" fillId="0" borderId="0" xfId="0"/>
    <xf numFmtId="0" fontId="11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11" fillId="5" borderId="1" xfId="0" applyFont="1" applyFill="1" applyBorder="1"/>
    <xf numFmtId="0" fontId="11" fillId="5" borderId="2" xfId="0" applyFont="1" applyFill="1" applyBorder="1"/>
    <xf numFmtId="0" fontId="0" fillId="5" borderId="3" xfId="0" applyFill="1" applyBorder="1"/>
    <xf numFmtId="0" fontId="11" fillId="5" borderId="9" xfId="0" applyFont="1" applyFill="1" applyBorder="1"/>
    <xf numFmtId="0" fontId="11" fillId="5" borderId="10" xfId="0" applyFont="1" applyFill="1" applyBorder="1"/>
    <xf numFmtId="0" fontId="11" fillId="5" borderId="11" xfId="0" applyFont="1" applyFill="1" applyBorder="1"/>
    <xf numFmtId="0" fontId="0" fillId="5" borderId="3" xfId="0" applyFill="1" applyBorder="1" applyAlignment="1">
      <alignment horizontal="center"/>
    </xf>
    <xf numFmtId="0" fontId="0" fillId="5" borderId="0" xfId="0" applyFill="1"/>
    <xf numFmtId="0" fontId="0" fillId="5" borderId="4" xfId="0" applyFill="1" applyBorder="1"/>
    <xf numFmtId="0" fontId="0" fillId="5" borderId="5" xfId="0" applyFill="1" applyBorder="1"/>
    <xf numFmtId="0" fontId="17" fillId="0" borderId="0" xfId="0" applyFont="1"/>
    <xf numFmtId="0" fontId="18" fillId="0" borderId="0" xfId="0" applyFont="1"/>
    <xf numFmtId="0" fontId="11" fillId="2" borderId="4" xfId="0" applyFont="1" applyFill="1" applyBorder="1"/>
    <xf numFmtId="0" fontId="11" fillId="2" borderId="6" xfId="0" applyFont="1" applyFill="1" applyBorder="1"/>
    <xf numFmtId="0" fontId="11" fillId="0" borderId="2" xfId="0" applyFont="1" applyBorder="1"/>
    <xf numFmtId="0" fontId="11" fillId="6" borderId="12" xfId="0" applyFont="1" applyFill="1" applyBorder="1"/>
    <xf numFmtId="0" fontId="11" fillId="6" borderId="13" xfId="0" applyFont="1" applyFill="1" applyBorder="1"/>
    <xf numFmtId="0" fontId="11" fillId="6" borderId="14" xfId="0" applyFont="1" applyFill="1" applyBorder="1"/>
    <xf numFmtId="9" fontId="0" fillId="2" borderId="7" xfId="0" applyNumberFormat="1" applyFill="1" applyBorder="1"/>
    <xf numFmtId="9" fontId="0" fillId="5" borderId="7" xfId="0" applyNumberFormat="1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2" xfId="0" applyFill="1" applyBorder="1"/>
    <xf numFmtId="0" fontId="0" fillId="5" borderId="7" xfId="0" applyFill="1" applyBorder="1"/>
    <xf numFmtId="0" fontId="22" fillId="0" borderId="0" xfId="2" applyFont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2" fillId="0" borderId="0" xfId="2" applyFont="1"/>
    <xf numFmtId="0" fontId="22" fillId="0" borderId="22" xfId="2" applyFont="1" applyBorder="1" applyAlignment="1">
      <alignment horizontal="center" vertical="center"/>
    </xf>
    <xf numFmtId="14" fontId="22" fillId="0" borderId="22" xfId="2" applyNumberFormat="1" applyFont="1" applyBorder="1" applyAlignment="1">
      <alignment horizontal="center" vertical="center"/>
    </xf>
    <xf numFmtId="0" fontId="26" fillId="0" borderId="0" xfId="2" applyFont="1" applyAlignment="1">
      <alignment horizontal="center" vertical="center" wrapText="1"/>
    </xf>
    <xf numFmtId="0" fontId="28" fillId="0" borderId="0" xfId="3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12" fillId="3" borderId="24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49" fontId="14" fillId="4" borderId="27" xfId="0" applyNumberFormat="1" applyFont="1" applyFill="1" applyBorder="1" applyAlignment="1">
      <alignment horizontal="center" vertical="center"/>
    </xf>
    <xf numFmtId="49" fontId="14" fillId="4" borderId="33" xfId="0" applyNumberFormat="1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49" fontId="14" fillId="4" borderId="39" xfId="0" applyNumberFormat="1" applyFont="1" applyFill="1" applyBorder="1" applyAlignment="1">
      <alignment horizontal="center" vertical="center"/>
    </xf>
    <xf numFmtId="49" fontId="15" fillId="4" borderId="27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22" fillId="0" borderId="15" xfId="2" applyFont="1" applyBorder="1" applyAlignment="1">
      <alignment horizontal="left" vertical="center"/>
    </xf>
    <xf numFmtId="0" fontId="22" fillId="0" borderId="17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49" fontId="15" fillId="4" borderId="26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4" borderId="38" xfId="0" applyNumberFormat="1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 wrapText="1"/>
    </xf>
    <xf numFmtId="2" fontId="12" fillId="3" borderId="50" xfId="0" applyNumberFormat="1" applyFont="1" applyFill="1" applyBorder="1" applyAlignment="1">
      <alignment horizontal="center" vertical="center" wrapText="1"/>
    </xf>
    <xf numFmtId="1" fontId="12" fillId="3" borderId="50" xfId="0" applyNumberFormat="1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49" fontId="10" fillId="0" borderId="41" xfId="0" applyNumberFormat="1" applyFont="1" applyBorder="1" applyAlignment="1">
      <alignment vertical="center"/>
    </xf>
    <xf numFmtId="49" fontId="10" fillId="0" borderId="41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32" xfId="0" applyFont="1" applyBorder="1" applyAlignment="1">
      <alignment vertical="center" wrapText="1"/>
    </xf>
    <xf numFmtId="49" fontId="10" fillId="0" borderId="32" xfId="0" applyNumberFormat="1" applyFont="1" applyBorder="1" applyAlignment="1">
      <alignment vertical="center"/>
    </xf>
    <xf numFmtId="49" fontId="10" fillId="0" borderId="32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0" fillId="4" borderId="25" xfId="0" applyFont="1" applyFill="1" applyBorder="1" applyAlignment="1">
      <alignment vertical="center"/>
    </xf>
    <xf numFmtId="0" fontId="10" fillId="4" borderId="26" xfId="0" applyFont="1" applyFill="1" applyBorder="1" applyAlignment="1">
      <alignment vertical="center" wrapText="1"/>
    </xf>
    <xf numFmtId="49" fontId="10" fillId="4" borderId="26" xfId="0" applyNumberFormat="1" applyFont="1" applyFill="1" applyBorder="1" applyAlignment="1">
      <alignment vertical="center"/>
    </xf>
    <xf numFmtId="49" fontId="10" fillId="4" borderId="26" xfId="0" applyNumberFormat="1" applyFont="1" applyFill="1" applyBorder="1" applyAlignment="1">
      <alignment horizontal="center" vertical="center"/>
    </xf>
    <xf numFmtId="49" fontId="10" fillId="4" borderId="27" xfId="0" applyNumberFormat="1" applyFont="1" applyFill="1" applyBorder="1" applyAlignment="1">
      <alignment horizontal="center" vertical="center"/>
    </xf>
    <xf numFmtId="49" fontId="10" fillId="4" borderId="29" xfId="0" applyNumberFormat="1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vertical="center"/>
    </xf>
    <xf numFmtId="0" fontId="10" fillId="4" borderId="32" xfId="0" applyFont="1" applyFill="1" applyBorder="1" applyAlignment="1">
      <alignment vertical="center" wrapText="1"/>
    </xf>
    <xf numFmtId="49" fontId="10" fillId="4" borderId="32" xfId="0" applyNumberFormat="1" applyFont="1" applyFill="1" applyBorder="1" applyAlignment="1">
      <alignment vertical="center"/>
    </xf>
    <xf numFmtId="49" fontId="10" fillId="4" borderId="32" xfId="0" applyNumberFormat="1" applyFont="1" applyFill="1" applyBorder="1" applyAlignment="1">
      <alignment horizontal="center" vertical="center"/>
    </xf>
    <xf numFmtId="49" fontId="10" fillId="4" borderId="51" xfId="0" applyNumberFormat="1" applyFont="1" applyFill="1" applyBorder="1" applyAlignment="1">
      <alignment horizontal="center" vertical="center"/>
    </xf>
    <xf numFmtId="49" fontId="10" fillId="4" borderId="46" xfId="0" applyNumberFormat="1" applyFont="1" applyFill="1" applyBorder="1" applyAlignment="1">
      <alignment horizontal="center" vertical="center"/>
    </xf>
    <xf numFmtId="49" fontId="15" fillId="4" borderId="3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49" fontId="10" fillId="4" borderId="47" xfId="0" applyNumberFormat="1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49" fontId="10" fillId="4" borderId="39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 wrapText="1"/>
    </xf>
    <xf numFmtId="49" fontId="10" fillId="0" borderId="26" xfId="0" applyNumberFormat="1" applyFont="1" applyBorder="1" applyAlignment="1">
      <alignment vertical="center"/>
    </xf>
    <xf numFmtId="49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4" borderId="36" xfId="0" applyFont="1" applyFill="1" applyBorder="1" applyAlignment="1">
      <alignment vertical="center"/>
    </xf>
    <xf numFmtId="0" fontId="10" fillId="4" borderId="31" xfId="0" applyFont="1" applyFill="1" applyBorder="1" applyAlignment="1">
      <alignment vertical="center" wrapText="1"/>
    </xf>
    <xf numFmtId="49" fontId="10" fillId="4" borderId="31" xfId="0" applyNumberFormat="1" applyFont="1" applyFill="1" applyBorder="1" applyAlignment="1">
      <alignment vertical="center"/>
    </xf>
    <xf numFmtId="49" fontId="10" fillId="4" borderId="31" xfId="0" applyNumberFormat="1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vertical="center"/>
    </xf>
    <xf numFmtId="49" fontId="10" fillId="4" borderId="35" xfId="0" applyNumberFormat="1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 wrapText="1"/>
    </xf>
    <xf numFmtId="1" fontId="12" fillId="3" borderId="52" xfId="0" applyNumberFormat="1" applyFont="1" applyFill="1" applyBorder="1" applyAlignment="1">
      <alignment horizontal="center" vertical="center" wrapText="1"/>
    </xf>
    <xf numFmtId="0" fontId="0" fillId="0" borderId="53" xfId="0" applyBorder="1"/>
    <xf numFmtId="1" fontId="10" fillId="0" borderId="41" xfId="0" applyNumberFormat="1" applyFont="1" applyBorder="1" applyAlignment="1">
      <alignment vertical="center"/>
    </xf>
    <xf numFmtId="1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31" xfId="0" applyFont="1" applyBorder="1" applyAlignment="1">
      <alignment vertical="center" wrapText="1"/>
    </xf>
    <xf numFmtId="49" fontId="10" fillId="0" borderId="31" xfId="0" applyNumberFormat="1" applyFont="1" applyBorder="1" applyAlignment="1">
      <alignment vertical="center"/>
    </xf>
    <xf numFmtId="1" fontId="10" fillId="0" borderId="31" xfId="0" applyNumberFormat="1" applyFont="1" applyBorder="1" applyAlignment="1">
      <alignment vertical="center"/>
    </xf>
    <xf numFmtId="1" fontId="10" fillId="0" borderId="31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" fontId="10" fillId="4" borderId="26" xfId="0" applyNumberFormat="1" applyFont="1" applyFill="1" applyBorder="1" applyAlignment="1">
      <alignment vertical="center"/>
    </xf>
    <xf numFmtId="1" fontId="10" fillId="4" borderId="26" xfId="0" applyNumberFormat="1" applyFont="1" applyFill="1" applyBorder="1" applyAlignment="1">
      <alignment horizontal="center" vertical="center"/>
    </xf>
    <xf numFmtId="1" fontId="10" fillId="4" borderId="31" xfId="0" applyNumberFormat="1" applyFont="1" applyFill="1" applyBorder="1" applyAlignment="1">
      <alignment vertical="center"/>
    </xf>
    <xf numFmtId="1" fontId="10" fillId="4" borderId="31" xfId="0" applyNumberFormat="1" applyFont="1" applyFill="1" applyBorder="1" applyAlignment="1">
      <alignment horizontal="center" vertical="center"/>
    </xf>
    <xf numFmtId="49" fontId="10" fillId="4" borderId="33" xfId="0" applyNumberFormat="1" applyFont="1" applyFill="1" applyBorder="1" applyAlignment="1">
      <alignment horizontal="center" vertical="center"/>
    </xf>
    <xf numFmtId="1" fontId="10" fillId="0" borderId="26" xfId="0" applyNumberFormat="1" applyFont="1" applyBorder="1" applyAlignment="1">
      <alignment vertical="center"/>
    </xf>
    <xf numFmtId="1" fontId="10" fillId="0" borderId="26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vertical="center"/>
    </xf>
    <xf numFmtId="0" fontId="10" fillId="4" borderId="38" xfId="0" applyFont="1" applyFill="1" applyBorder="1" applyAlignment="1">
      <alignment vertical="center" wrapText="1"/>
    </xf>
    <xf numFmtId="49" fontId="10" fillId="4" borderId="38" xfId="0" applyNumberFormat="1" applyFont="1" applyFill="1" applyBorder="1" applyAlignment="1">
      <alignment vertical="center"/>
    </xf>
    <xf numFmtId="1" fontId="10" fillId="4" borderId="38" xfId="0" applyNumberFormat="1" applyFont="1" applyFill="1" applyBorder="1" applyAlignment="1">
      <alignment vertical="center"/>
    </xf>
    <xf numFmtId="1" fontId="10" fillId="4" borderId="38" xfId="0" applyNumberFormat="1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vertical="center"/>
    </xf>
    <xf numFmtId="49" fontId="10" fillId="4" borderId="38" xfId="0" applyNumberFormat="1" applyFont="1" applyFill="1" applyBorder="1" applyAlignment="1">
      <alignment horizontal="center" vertical="center"/>
    </xf>
    <xf numFmtId="49" fontId="10" fillId="4" borderId="40" xfId="0" applyNumberFormat="1" applyFont="1" applyFill="1" applyBorder="1" applyAlignment="1">
      <alignment horizontal="center" vertical="center"/>
    </xf>
    <xf numFmtId="1" fontId="10" fillId="0" borderId="32" xfId="0" applyNumberFormat="1" applyFont="1" applyBorder="1" applyAlignment="1">
      <alignment vertical="center"/>
    </xf>
    <xf numFmtId="1" fontId="10" fillId="0" borderId="32" xfId="0" applyNumberFormat="1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0" fillId="0" borderId="43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0" fillId="4" borderId="36" xfId="0" applyFont="1" applyFill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4" borderId="37" xfId="0" applyFont="1" applyFill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4" borderId="55" xfId="0" applyFont="1" applyFill="1" applyBorder="1" applyAlignment="1">
      <alignment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0" fillId="0" borderId="54" xfId="0" applyFont="1" applyBorder="1" applyAlignment="1">
      <alignment vertical="center"/>
    </xf>
    <xf numFmtId="49" fontId="10" fillId="0" borderId="23" xfId="0" applyNumberFormat="1" applyFont="1" applyBorder="1" applyAlignment="1">
      <alignment vertical="center"/>
    </xf>
    <xf numFmtId="0" fontId="14" fillId="0" borderId="58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0" fillId="4" borderId="18" xfId="0" applyNumberFormat="1" applyFont="1" applyFill="1" applyBorder="1" applyAlignment="1">
      <alignment horizontal="center" vertical="center"/>
    </xf>
    <xf numFmtId="0" fontId="10" fillId="4" borderId="20" xfId="0" applyNumberFormat="1" applyFont="1" applyFill="1" applyBorder="1" applyAlignment="1">
      <alignment horizontal="center" vertical="center"/>
    </xf>
    <xf numFmtId="49" fontId="10" fillId="4" borderId="19" xfId="0" applyNumberFormat="1" applyFont="1" applyFill="1" applyBorder="1" applyAlignment="1">
      <alignment vertical="center"/>
    </xf>
    <xf numFmtId="0" fontId="10" fillId="4" borderId="21" xfId="0" applyFont="1" applyFill="1" applyBorder="1" applyAlignment="1">
      <alignment vertical="center"/>
    </xf>
    <xf numFmtId="0" fontId="10" fillId="4" borderId="58" xfId="0" applyNumberFormat="1" applyFont="1" applyFill="1" applyBorder="1" applyAlignment="1">
      <alignment horizontal="center" vertical="center"/>
    </xf>
    <xf numFmtId="0" fontId="10" fillId="4" borderId="63" xfId="0" applyNumberFormat="1" applyFont="1" applyFill="1" applyBorder="1" applyAlignment="1">
      <alignment horizontal="center" vertical="center"/>
    </xf>
    <xf numFmtId="0" fontId="10" fillId="4" borderId="61" xfId="0" applyNumberFormat="1" applyFont="1" applyFill="1" applyBorder="1" applyAlignment="1">
      <alignment horizontal="center" vertical="center"/>
    </xf>
    <xf numFmtId="0" fontId="10" fillId="4" borderId="62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 wrapText="1"/>
    </xf>
    <xf numFmtId="0" fontId="10" fillId="4" borderId="30" xfId="0" applyFont="1" applyFill="1" applyBorder="1" applyAlignment="1">
      <alignment vertical="center" wrapText="1"/>
    </xf>
    <xf numFmtId="49" fontId="10" fillId="0" borderId="19" xfId="0" applyNumberFormat="1" applyFont="1" applyBorder="1" applyAlignment="1">
      <alignment vertical="center"/>
    </xf>
    <xf numFmtId="49" fontId="10" fillId="0" borderId="21" xfId="0" applyNumberFormat="1" applyFont="1" applyBorder="1" applyAlignment="1">
      <alignment vertical="center"/>
    </xf>
    <xf numFmtId="0" fontId="20" fillId="0" borderId="18" xfId="1" applyBorder="1"/>
    <xf numFmtId="0" fontId="20" fillId="0" borderId="19" xfId="1" applyBorder="1"/>
    <xf numFmtId="0" fontId="21" fillId="7" borderId="21" xfId="1" applyFont="1" applyFill="1" applyBorder="1" applyAlignment="1">
      <alignment horizontal="left" vertical="center"/>
    </xf>
    <xf numFmtId="0" fontId="20" fillId="0" borderId="0" xfId="1"/>
    <xf numFmtId="0" fontId="20" fillId="0" borderId="23" xfId="1" applyBorder="1"/>
    <xf numFmtId="0" fontId="20" fillId="0" borderId="21" xfId="1" applyBorder="1"/>
    <xf numFmtId="0" fontId="23" fillId="7" borderId="22" xfId="2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9" fontId="15" fillId="4" borderId="47" xfId="0" applyNumberFormat="1" applyFont="1" applyFill="1" applyBorder="1" applyAlignment="1">
      <alignment horizontal="center" vertical="center"/>
    </xf>
    <xf numFmtId="49" fontId="15" fillId="4" borderId="33" xfId="0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9" fontId="15" fillId="4" borderId="39" xfId="0" applyNumberFormat="1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45" xfId="0" applyFont="1" applyBorder="1" applyAlignment="1">
      <alignment horizontal="center" vertical="center"/>
    </xf>
    <xf numFmtId="0" fontId="9" fillId="4" borderId="25" xfId="0" applyFont="1" applyFill="1" applyBorder="1" applyAlignment="1">
      <alignment vertical="center" wrapText="1"/>
    </xf>
    <xf numFmtId="0" fontId="9" fillId="4" borderId="25" xfId="0" applyFont="1" applyFill="1" applyBorder="1" applyAlignment="1">
      <alignment vertical="center"/>
    </xf>
    <xf numFmtId="49" fontId="9" fillId="4" borderId="27" xfId="0" applyNumberFormat="1" applyFont="1" applyFill="1" applyBorder="1" applyAlignment="1">
      <alignment horizontal="center" vertical="center"/>
    </xf>
    <xf numFmtId="49" fontId="9" fillId="4" borderId="33" xfId="0" applyNumberFormat="1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49" fontId="9" fillId="4" borderId="26" xfId="0" applyNumberFormat="1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9" fillId="4" borderId="31" xfId="0" applyNumberFormat="1" applyFont="1" applyFill="1" applyBorder="1" applyAlignment="1">
      <alignment horizontal="center" vertical="center"/>
    </xf>
    <xf numFmtId="49" fontId="15" fillId="4" borderId="45" xfId="0" applyNumberFormat="1" applyFont="1" applyFill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49" fontId="15" fillId="4" borderId="64" xfId="0" applyNumberFormat="1" applyFont="1" applyFill="1" applyBorder="1" applyAlignment="1">
      <alignment horizontal="center" vertical="center"/>
    </xf>
    <xf numFmtId="49" fontId="14" fillId="4" borderId="45" xfId="0" applyNumberFormat="1" applyFont="1" applyFill="1" applyBorder="1" applyAlignment="1">
      <alignment horizontal="center" vertical="center"/>
    </xf>
    <xf numFmtId="49" fontId="14" fillId="4" borderId="64" xfId="0" applyNumberFormat="1" applyFont="1" applyFill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4" borderId="64" xfId="0" applyFont="1" applyFill="1" applyBorder="1" applyAlignment="1">
      <alignment horizontal="center" vertical="center"/>
    </xf>
    <xf numFmtId="49" fontId="10" fillId="4" borderId="64" xfId="0" applyNumberFormat="1" applyFont="1" applyFill="1" applyBorder="1" applyAlignment="1">
      <alignment horizontal="center" vertical="center"/>
    </xf>
    <xf numFmtId="49" fontId="10" fillId="4" borderId="45" xfId="0" applyNumberFormat="1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49" fontId="7" fillId="4" borderId="47" xfId="0" applyNumberFormat="1" applyFont="1" applyFill="1" applyBorder="1" applyAlignment="1">
      <alignment horizontal="center" vertical="center"/>
    </xf>
    <xf numFmtId="49" fontId="7" fillId="4" borderId="33" xfId="0" applyNumberFormat="1" applyFont="1" applyFill="1" applyBorder="1" applyAlignment="1">
      <alignment horizontal="center" vertical="center"/>
    </xf>
    <xf numFmtId="49" fontId="7" fillId="4" borderId="29" xfId="0" applyNumberFormat="1" applyFont="1" applyFill="1" applyBorder="1" applyAlignment="1">
      <alignment horizontal="center" vertical="center"/>
    </xf>
    <xf numFmtId="49" fontId="7" fillId="4" borderId="27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4" borderId="29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9" fontId="6" fillId="4" borderId="26" xfId="0" applyNumberFormat="1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5" fillId="4" borderId="26" xfId="0" applyFont="1" applyFill="1" applyBorder="1" applyAlignment="1">
      <alignment vertical="center" wrapText="1"/>
    </xf>
    <xf numFmtId="0" fontId="5" fillId="4" borderId="25" xfId="0" applyFont="1" applyFill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49" fontId="5" fillId="4" borderId="29" xfId="0" applyNumberFormat="1" applyFont="1" applyFill="1" applyBorder="1" applyAlignment="1">
      <alignment horizontal="center" vertical="center"/>
    </xf>
    <xf numFmtId="0" fontId="5" fillId="4" borderId="67" xfId="0" applyFont="1" applyFill="1" applyBorder="1" applyAlignment="1">
      <alignment vertical="center"/>
    </xf>
    <xf numFmtId="0" fontId="5" fillId="4" borderId="68" xfId="0" applyFont="1" applyFill="1" applyBorder="1" applyAlignment="1">
      <alignment vertical="center" wrapText="1"/>
    </xf>
    <xf numFmtId="0" fontId="5" fillId="4" borderId="69" xfId="0" applyFont="1" applyFill="1" applyBorder="1" applyAlignment="1">
      <alignment vertical="center"/>
    </xf>
    <xf numFmtId="0" fontId="5" fillId="4" borderId="70" xfId="0" applyFont="1" applyFill="1" applyBorder="1" applyAlignment="1">
      <alignment vertical="center" wrapText="1"/>
    </xf>
    <xf numFmtId="0" fontId="5" fillId="0" borderId="29" xfId="0" applyFont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center" vertical="center"/>
    </xf>
    <xf numFmtId="49" fontId="5" fillId="4" borderId="33" xfId="0" applyNumberFormat="1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4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5" fillId="4" borderId="75" xfId="0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9" fontId="4" fillId="4" borderId="27" xfId="0" applyNumberFormat="1" applyFont="1" applyFill="1" applyBorder="1" applyAlignment="1">
      <alignment horizontal="center" vertical="center"/>
    </xf>
    <xf numFmtId="49" fontId="4" fillId="4" borderId="33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4" borderId="25" xfId="0" applyFont="1" applyFill="1" applyBorder="1" applyAlignment="1">
      <alignment vertical="center" wrapText="1"/>
    </xf>
    <xf numFmtId="0" fontId="4" fillId="4" borderId="26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49" fontId="4" fillId="4" borderId="0" xfId="0" applyNumberFormat="1" applyFont="1" applyFill="1" applyBorder="1" applyAlignment="1">
      <alignment horizontal="center" vertical="center"/>
    </xf>
    <xf numFmtId="49" fontId="4" fillId="4" borderId="29" xfId="0" applyNumberFormat="1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49" fontId="4" fillId="4" borderId="31" xfId="0" applyNumberFormat="1" applyFont="1" applyFill="1" applyBorder="1" applyAlignment="1">
      <alignment horizontal="center" vertical="center"/>
    </xf>
    <xf numFmtId="0" fontId="15" fillId="4" borderId="78" xfId="0" applyFont="1" applyFill="1" applyBorder="1" applyAlignment="1">
      <alignment horizontal="center" vertical="center"/>
    </xf>
    <xf numFmtId="49" fontId="5" fillId="4" borderId="77" xfId="0" applyNumberFormat="1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0" fillId="0" borderId="0" xfId="0"/>
    <xf numFmtId="0" fontId="15" fillId="4" borderId="75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49" fontId="4" fillId="4" borderId="27" xfId="0" applyNumberFormat="1" applyFont="1" applyFill="1" applyBorder="1" applyAlignment="1">
      <alignment horizontal="center" vertical="center"/>
    </xf>
    <xf numFmtId="49" fontId="4" fillId="4" borderId="29" xfId="0" applyNumberFormat="1" applyFont="1" applyFill="1" applyBorder="1" applyAlignment="1">
      <alignment horizontal="center" vertical="center"/>
    </xf>
    <xf numFmtId="49" fontId="5" fillId="4" borderId="79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49" fontId="15" fillId="4" borderId="31" xfId="0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5" fillId="0" borderId="82" xfId="0" applyFont="1" applyBorder="1" applyAlignment="1">
      <alignment vertical="center" wrapText="1"/>
    </xf>
    <xf numFmtId="0" fontId="5" fillId="4" borderId="9" xfId="0" applyFont="1" applyFill="1" applyBorder="1" applyAlignment="1">
      <alignment vertical="center"/>
    </xf>
    <xf numFmtId="0" fontId="3" fillId="4" borderId="84" xfId="0" applyFont="1" applyFill="1" applyBorder="1" applyAlignment="1">
      <alignment vertical="center"/>
    </xf>
    <xf numFmtId="0" fontId="5" fillId="4" borderId="31" xfId="0" applyFont="1" applyFill="1" applyBorder="1" applyAlignment="1">
      <alignment vertical="center" wrapText="1"/>
    </xf>
    <xf numFmtId="49" fontId="3" fillId="0" borderId="82" xfId="0" applyNumberFormat="1" applyFont="1" applyBorder="1" applyAlignment="1">
      <alignment vertical="center"/>
    </xf>
    <xf numFmtId="0" fontId="0" fillId="0" borderId="0" xfId="0"/>
    <xf numFmtId="0" fontId="12" fillId="3" borderId="50" xfId="0" applyFont="1" applyFill="1" applyBorder="1" applyAlignment="1">
      <alignment horizontal="center" vertical="center" wrapText="1"/>
    </xf>
    <xf numFmtId="49" fontId="3" fillId="4" borderId="82" xfId="0" applyNumberFormat="1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49" fontId="3" fillId="4" borderId="26" xfId="0" applyNumberFormat="1" applyFont="1" applyFill="1" applyBorder="1" applyAlignment="1">
      <alignment vertical="center"/>
    </xf>
    <xf numFmtId="0" fontId="3" fillId="4" borderId="26" xfId="0" applyFont="1" applyFill="1" applyBorder="1" applyAlignment="1">
      <alignment vertical="center" wrapText="1"/>
    </xf>
    <xf numFmtId="49" fontId="3" fillId="4" borderId="26" xfId="0" applyNumberFormat="1" applyFont="1" applyFill="1" applyBorder="1" applyAlignment="1">
      <alignment horizontal="center" vertical="center"/>
    </xf>
    <xf numFmtId="49" fontId="3" fillId="4" borderId="27" xfId="0" applyNumberFormat="1" applyFont="1" applyFill="1" applyBorder="1" applyAlignment="1">
      <alignment horizontal="center" vertical="center"/>
    </xf>
    <xf numFmtId="49" fontId="3" fillId="4" borderId="29" xfId="0" applyNumberFormat="1" applyFont="1" applyFill="1" applyBorder="1" applyAlignment="1">
      <alignment horizontal="center" vertical="center"/>
    </xf>
    <xf numFmtId="0" fontId="5" fillId="0" borderId="83" xfId="0" applyFont="1" applyBorder="1" applyAlignment="1">
      <alignment vertical="center" wrapText="1"/>
    </xf>
    <xf numFmtId="0" fontId="5" fillId="4" borderId="82" xfId="0" applyFont="1" applyFill="1" applyBorder="1" applyAlignment="1">
      <alignment vertical="center" wrapText="1"/>
    </xf>
    <xf numFmtId="0" fontId="5" fillId="4" borderId="83" xfId="0" applyFont="1" applyFill="1" applyBorder="1" applyAlignment="1">
      <alignment vertical="center" wrapText="1"/>
    </xf>
    <xf numFmtId="0" fontId="5" fillId="0" borderId="2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4" borderId="36" xfId="0" applyFont="1" applyFill="1" applyBorder="1" applyAlignment="1">
      <alignment vertical="center"/>
    </xf>
    <xf numFmtId="0" fontId="3" fillId="0" borderId="25" xfId="0" applyFont="1" applyBorder="1" applyAlignment="1">
      <alignment vertical="center" wrapText="1"/>
    </xf>
    <xf numFmtId="49" fontId="7" fillId="4" borderId="46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4" borderId="33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32" xfId="0" applyFont="1" applyBorder="1" applyAlignment="1">
      <alignment vertical="center" wrapText="1"/>
    </xf>
    <xf numFmtId="0" fontId="7" fillId="0" borderId="4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49" fontId="3" fillId="4" borderId="39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9" fontId="2" fillId="4" borderId="29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0" fontId="22" fillId="7" borderId="15" xfId="1" applyFont="1" applyFill="1" applyBorder="1" applyAlignment="1">
      <alignment horizontal="left" vertical="center"/>
    </xf>
    <xf numFmtId="0" fontId="22" fillId="7" borderId="16" xfId="1" applyFont="1" applyFill="1" applyBorder="1" applyAlignment="1">
      <alignment horizontal="left" vertical="center"/>
    </xf>
    <xf numFmtId="0" fontId="22" fillId="0" borderId="15" xfId="1" applyFont="1" applyBorder="1" applyAlignment="1">
      <alignment horizontal="left" vertical="center" wrapText="1"/>
    </xf>
    <xf numFmtId="0" fontId="22" fillId="0" borderId="17" xfId="1" applyFont="1" applyBorder="1" applyAlignment="1">
      <alignment horizontal="left" vertical="center" wrapText="1"/>
    </xf>
    <xf numFmtId="0" fontId="22" fillId="0" borderId="16" xfId="1" applyFont="1" applyBorder="1" applyAlignment="1">
      <alignment horizontal="left" vertical="center" wrapText="1"/>
    </xf>
    <xf numFmtId="0" fontId="22" fillId="0" borderId="15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1" fillId="7" borderId="15" xfId="1" applyFont="1" applyFill="1" applyBorder="1" applyAlignment="1">
      <alignment horizontal="left" vertical="center"/>
    </xf>
    <xf numFmtId="0" fontId="21" fillId="7" borderId="16" xfId="1" applyFont="1" applyFill="1" applyBorder="1" applyAlignment="1">
      <alignment horizontal="left" vertical="center"/>
    </xf>
    <xf numFmtId="0" fontId="21" fillId="0" borderId="15" xfId="1" applyFont="1" applyBorder="1" applyAlignment="1">
      <alignment horizontal="left" vertical="center"/>
    </xf>
    <xf numFmtId="0" fontId="21" fillId="0" borderId="17" xfId="1" applyFont="1" applyBorder="1" applyAlignment="1">
      <alignment horizontal="left" vertical="center"/>
    </xf>
    <xf numFmtId="0" fontId="21" fillId="0" borderId="16" xfId="1" applyFont="1" applyBorder="1" applyAlignment="1">
      <alignment horizontal="left" vertical="center"/>
    </xf>
    <xf numFmtId="0" fontId="21" fillId="0" borderId="20" xfId="1" applyFont="1" applyBorder="1" applyAlignment="1">
      <alignment horizontal="left" vertical="center"/>
    </xf>
    <xf numFmtId="0" fontId="21" fillId="0" borderId="10" xfId="1" applyFont="1" applyBorder="1" applyAlignment="1">
      <alignment horizontal="left" vertical="center"/>
    </xf>
    <xf numFmtId="0" fontId="21" fillId="0" borderId="21" xfId="1" applyFont="1" applyBorder="1" applyAlignment="1">
      <alignment horizontal="left" vertical="center"/>
    </xf>
    <xf numFmtId="0" fontId="22" fillId="7" borderId="22" xfId="1" applyFont="1" applyFill="1" applyBorder="1" applyAlignment="1">
      <alignment horizontal="left" vertical="center"/>
    </xf>
    <xf numFmtId="0" fontId="22" fillId="0" borderId="15" xfId="1" applyFont="1" applyBorder="1" applyAlignment="1">
      <alignment horizontal="left" vertical="center"/>
    </xf>
    <xf numFmtId="0" fontId="22" fillId="0" borderId="17" xfId="1" applyFont="1" applyBorder="1" applyAlignment="1">
      <alignment horizontal="left" vertical="center"/>
    </xf>
    <xf numFmtId="0" fontId="22" fillId="0" borderId="16" xfId="1" applyFont="1" applyBorder="1" applyAlignment="1">
      <alignment horizontal="left" vertical="center"/>
    </xf>
    <xf numFmtId="0" fontId="21" fillId="7" borderId="15" xfId="1" applyFont="1" applyFill="1" applyBorder="1" applyAlignment="1">
      <alignment horizontal="center"/>
    </xf>
    <xf numFmtId="0" fontId="21" fillId="7" borderId="16" xfId="1" applyFont="1" applyFill="1" applyBorder="1" applyAlignment="1">
      <alignment horizontal="center"/>
    </xf>
    <xf numFmtId="0" fontId="19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15" xfId="2" applyFont="1" applyBorder="1" applyAlignment="1">
      <alignment horizontal="left" vertical="center"/>
    </xf>
    <xf numFmtId="0" fontId="22" fillId="0" borderId="17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23" fillId="7" borderId="15" xfId="2" applyFont="1" applyFill="1" applyBorder="1" applyAlignment="1">
      <alignment horizontal="center" vertical="center"/>
    </xf>
    <xf numFmtId="0" fontId="23" fillId="7" borderId="17" xfId="2" applyFont="1" applyFill="1" applyBorder="1" applyAlignment="1">
      <alignment horizontal="center" vertical="center"/>
    </xf>
    <xf numFmtId="0" fontId="23" fillId="7" borderId="16" xfId="2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49" fontId="1" fillId="4" borderId="4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49" fontId="1" fillId="8" borderId="31" xfId="0" applyNumberFormat="1" applyFont="1" applyFill="1" applyBorder="1" applyAlignment="1">
      <alignment vertical="center"/>
    </xf>
    <xf numFmtId="49" fontId="1" fillId="4" borderId="29" xfId="0" applyNumberFormat="1" applyFont="1" applyFill="1" applyBorder="1" applyAlignment="1">
      <alignment horizontal="center" vertical="center"/>
    </xf>
    <xf numFmtId="0" fontId="1" fillId="8" borderId="84" xfId="0" applyFont="1" applyFill="1" applyBorder="1" applyAlignment="1">
      <alignment vertical="center"/>
    </xf>
    <xf numFmtId="0" fontId="1" fillId="8" borderId="79" xfId="0" applyFont="1" applyFill="1" applyBorder="1" applyAlignment="1">
      <alignment vertical="center"/>
    </xf>
    <xf numFmtId="49" fontId="1" fillId="4" borderId="29" xfId="0" applyNumberFormat="1" applyFont="1" applyFill="1" applyBorder="1" applyAlignment="1">
      <alignment horizontal="center" vertical="center"/>
    </xf>
    <xf numFmtId="0" fontId="1" fillId="8" borderId="68" xfId="0" applyFont="1" applyFill="1" applyBorder="1" applyAlignment="1">
      <alignment vertical="center" wrapText="1"/>
    </xf>
    <xf numFmtId="0" fontId="1" fillId="8" borderId="70" xfId="0" applyFont="1" applyFill="1" applyBorder="1" applyAlignment="1">
      <alignment vertical="center" wrapText="1"/>
    </xf>
    <xf numFmtId="49" fontId="1" fillId="8" borderId="26" xfId="0" applyNumberFormat="1" applyFont="1" applyFill="1" applyBorder="1" applyAlignment="1">
      <alignment vertical="center"/>
    </xf>
    <xf numFmtId="49" fontId="1" fillId="8" borderId="53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1" fillId="8" borderId="67" xfId="0" applyFont="1" applyFill="1" applyBorder="1" applyAlignment="1">
      <alignment vertical="center"/>
    </xf>
    <xf numFmtId="0" fontId="1" fillId="8" borderId="67" xfId="0" applyFont="1" applyFill="1" applyBorder="1" applyAlignment="1">
      <alignment vertical="center"/>
    </xf>
    <xf numFmtId="0" fontId="1" fillId="8" borderId="68" xfId="0" applyFont="1" applyFill="1" applyBorder="1" applyAlignment="1">
      <alignment vertical="center" wrapText="1"/>
    </xf>
    <xf numFmtId="0" fontId="1" fillId="8" borderId="69" xfId="0" applyFont="1" applyFill="1" applyBorder="1" applyAlignment="1">
      <alignment vertical="center"/>
    </xf>
    <xf numFmtId="0" fontId="1" fillId="8" borderId="70" xfId="0" applyFont="1" applyFill="1" applyBorder="1" applyAlignment="1">
      <alignment vertical="center" wrapText="1"/>
    </xf>
    <xf numFmtId="49" fontId="1" fillId="8" borderId="53" xfId="0" applyNumberFormat="1" applyFont="1" applyFill="1" applyBorder="1" applyAlignment="1">
      <alignment vertical="center"/>
    </xf>
    <xf numFmtId="49" fontId="1" fillId="8" borderId="10" xfId="0" applyNumberFormat="1" applyFont="1" applyFill="1" applyBorder="1" applyAlignment="1">
      <alignment vertical="center"/>
    </xf>
    <xf numFmtId="49" fontId="1" fillId="8" borderId="68" xfId="0" applyNumberFormat="1" applyFont="1" applyFill="1" applyBorder="1" applyAlignment="1">
      <alignment vertical="center"/>
    </xf>
    <xf numFmtId="49" fontId="1" fillId="8" borderId="70" xfId="0" applyNumberFormat="1" applyFont="1" applyFill="1" applyBorder="1" applyAlignment="1">
      <alignment vertical="center"/>
    </xf>
    <xf numFmtId="0" fontId="1" fillId="8" borderId="7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49" fontId="1" fillId="4" borderId="29" xfId="0" applyNumberFormat="1" applyFont="1" applyFill="1" applyBorder="1" applyAlignment="1">
      <alignment horizontal="center" vertical="center"/>
    </xf>
    <xf numFmtId="0" fontId="1" fillId="8" borderId="87" xfId="0" applyFont="1" applyFill="1" applyBorder="1" applyAlignment="1">
      <alignment horizontal="center" vertical="center"/>
    </xf>
    <xf numFmtId="49" fontId="1" fillId="8" borderId="77" xfId="0" applyNumberFormat="1" applyFont="1" applyFill="1" applyBorder="1" applyAlignment="1">
      <alignment vertical="center"/>
    </xf>
    <xf numFmtId="0" fontId="1" fillId="8" borderId="85" xfId="0" applyFont="1" applyFill="1" applyBorder="1" applyAlignment="1">
      <alignment horizontal="center" vertical="center"/>
    </xf>
    <xf numFmtId="0" fontId="15" fillId="8" borderId="73" xfId="0" applyFont="1" applyFill="1" applyBorder="1" applyAlignment="1">
      <alignment horizontal="center" vertical="center"/>
    </xf>
    <xf numFmtId="0" fontId="1" fillId="8" borderId="88" xfId="0" applyFont="1" applyFill="1" applyBorder="1" applyAlignment="1">
      <alignment horizontal="center" vertical="center"/>
    </xf>
    <xf numFmtId="49" fontId="1" fillId="8" borderId="79" xfId="0" applyNumberFormat="1" applyFont="1" applyFill="1" applyBorder="1" applyAlignment="1">
      <alignment vertical="center"/>
    </xf>
    <xf numFmtId="0" fontId="1" fillId="8" borderId="86" xfId="0" applyFont="1" applyFill="1" applyBorder="1" applyAlignment="1">
      <alignment horizontal="center" vertical="center"/>
    </xf>
    <xf numFmtId="0" fontId="15" fillId="8" borderId="74" xfId="0" applyFont="1" applyFill="1" applyBorder="1" applyAlignment="1">
      <alignment horizontal="center" vertical="center"/>
    </xf>
    <xf numFmtId="49" fontId="1" fillId="8" borderId="68" xfId="0" applyNumberFormat="1" applyFont="1" applyFill="1" applyBorder="1" applyAlignment="1">
      <alignment horizontal="center" vertical="center"/>
    </xf>
    <xf numFmtId="0" fontId="15" fillId="8" borderId="71" xfId="0" applyFont="1" applyFill="1" applyBorder="1" applyAlignment="1">
      <alignment horizontal="center" vertical="center"/>
    </xf>
    <xf numFmtId="49" fontId="1" fillId="8" borderId="70" xfId="0" applyNumberFormat="1" applyFont="1" applyFill="1" applyBorder="1" applyAlignment="1">
      <alignment horizontal="center" vertical="center"/>
    </xf>
    <xf numFmtId="0" fontId="15" fillId="8" borderId="72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vertical="center" wrapText="1"/>
    </xf>
    <xf numFmtId="0" fontId="1" fillId="8" borderId="31" xfId="0" applyFont="1" applyFill="1" applyBorder="1" applyAlignment="1">
      <alignment vertical="center" wrapText="1"/>
    </xf>
    <xf numFmtId="49" fontId="1" fillId="8" borderId="87" xfId="0" applyNumberFormat="1" applyFont="1" applyFill="1" applyBorder="1" applyAlignment="1">
      <alignment horizontal="center" vertical="center"/>
    </xf>
    <xf numFmtId="49" fontId="1" fillId="8" borderId="88" xfId="0" applyNumberFormat="1" applyFont="1" applyFill="1" applyBorder="1" applyAlignment="1">
      <alignment horizontal="center" vertical="center"/>
    </xf>
    <xf numFmtId="0" fontId="15" fillId="8" borderId="89" xfId="0" applyFont="1" applyFill="1" applyBorder="1" applyAlignment="1">
      <alignment horizontal="center" vertical="center"/>
    </xf>
    <xf numFmtId="0" fontId="15" fillId="8" borderId="90" xfId="0" applyFont="1" applyFill="1" applyBorder="1" applyAlignment="1">
      <alignment horizontal="center" vertical="center"/>
    </xf>
    <xf numFmtId="0" fontId="15" fillId="8" borderId="75" xfId="0" applyFont="1" applyFill="1" applyBorder="1" applyAlignment="1">
      <alignment horizontal="center" vertical="center"/>
    </xf>
    <xf numFmtId="0" fontId="15" fillId="8" borderId="78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49" fontId="15" fillId="8" borderId="27" xfId="0" applyNumberFormat="1" applyFont="1" applyFill="1" applyBorder="1" applyAlignment="1">
      <alignment horizontal="center" vertical="center"/>
    </xf>
    <xf numFmtId="49" fontId="15" fillId="8" borderId="26" xfId="0" applyNumberFormat="1" applyFont="1" applyFill="1" applyBorder="1" applyAlignment="1">
      <alignment horizontal="center" vertical="center"/>
    </xf>
    <xf numFmtId="49" fontId="15" fillId="8" borderId="47" xfId="0" applyNumberFormat="1" applyFont="1" applyFill="1" applyBorder="1" applyAlignment="1">
      <alignment horizontal="center" vertical="center"/>
    </xf>
    <xf numFmtId="49" fontId="15" fillId="8" borderId="32" xfId="0" applyNumberFormat="1" applyFont="1" applyFill="1" applyBorder="1" applyAlignment="1">
      <alignment horizontal="center" vertical="center"/>
    </xf>
    <xf numFmtId="49" fontId="15" fillId="8" borderId="45" xfId="0" applyNumberFormat="1" applyFont="1" applyFill="1" applyBorder="1" applyAlignment="1">
      <alignment horizontal="center" vertical="center"/>
    </xf>
    <xf numFmtId="49" fontId="15" fillId="8" borderId="33" xfId="0" applyNumberFormat="1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8" borderId="26" xfId="0" applyFont="1" applyFill="1" applyBorder="1" applyAlignment="1">
      <alignment horizontal="center" vertical="center"/>
    </xf>
    <xf numFmtId="0" fontId="15" fillId="8" borderId="47" xfId="0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center" vertical="center"/>
    </xf>
    <xf numFmtId="0" fontId="15" fillId="8" borderId="45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</cellXfs>
  <cellStyles count="5">
    <cellStyle name="Hyperlink 3" xfId="3" xr:uid="{0262AEE6-B598-4FDA-8B82-24FAB89D9539}"/>
    <cellStyle name="Normal" xfId="0" builtinId="0"/>
    <cellStyle name="Normal 2" xfId="4" xr:uid="{8FB332A1-F2CE-41D1-9ABF-F888BB214EB6}"/>
    <cellStyle name="Normal 4 2" xfId="1" xr:uid="{0B34D5FE-52F4-4FA7-954E-E5462452BD38}"/>
    <cellStyle name="Normal 7" xfId="2" xr:uid="{5A3ACA9F-0905-4DBB-ABD5-62F0897FB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11</xdr:row>
      <xdr:rowOff>47625</xdr:rowOff>
    </xdr:from>
    <xdr:to>
      <xdr:col>7</xdr:col>
      <xdr:colOff>66675</xdr:colOff>
      <xdr:row>18</xdr:row>
      <xdr:rowOff>107674</xdr:rowOff>
    </xdr:to>
    <xdr:pic>
      <xdr:nvPicPr>
        <xdr:cNvPr id="2" name="Picture 1" descr="\\hima.sella\dfs\Library\SELLA CONTROLS logo\HIMA 2023 Takeover\JPEG\230203_Sella Controls Logo_color_whiteback_CMYK.jpg">
          <a:extLst>
            <a:ext uri="{FF2B5EF4-FFF2-40B4-BE49-F238E27FC236}">
              <a16:creationId xmlns:a16="http://schemas.microsoft.com/office/drawing/2014/main" id="{A946AD6E-7663-4810-8BF1-17EA529F4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885950"/>
          <a:ext cx="21240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238125</xdr:colOff>
      <xdr:row>0</xdr:row>
      <xdr:rowOff>76200</xdr:rowOff>
    </xdr:from>
    <xdr:to>
      <xdr:col>9</xdr:col>
      <xdr:colOff>438150</xdr:colOff>
      <xdr:row>3</xdr:row>
      <xdr:rowOff>95250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C8C822-8164-4A5C-B9C2-9C8800CC5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200"/>
          <a:ext cx="8096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797B-EF3C-4B27-9BFA-6B4AEEF07A46}">
  <sheetPr>
    <pageSetUpPr fitToPage="1"/>
  </sheetPr>
  <dimension ref="A1:Z60"/>
  <sheetViews>
    <sheetView view="pageBreakPreview" zoomScaleNormal="100" zoomScaleSheetLayoutView="100" workbookViewId="0">
      <selection activeCell="M30" sqref="M30"/>
    </sheetView>
  </sheetViews>
  <sheetFormatPr defaultRowHeight="13.5" x14ac:dyDescent="0.25"/>
  <cols>
    <col min="1" max="1" width="9.140625" style="42"/>
    <col min="2" max="3" width="10.42578125" style="42" bestFit="1" customWidth="1"/>
    <col min="4" max="7" width="9.140625" style="42"/>
    <col min="8" max="8" width="9.140625" style="42" customWidth="1"/>
    <col min="9" max="257" width="9.140625" style="42"/>
    <col min="258" max="259" width="10.42578125" style="42" bestFit="1" customWidth="1"/>
    <col min="260" max="513" width="9.140625" style="42"/>
    <col min="514" max="515" width="10.42578125" style="42" bestFit="1" customWidth="1"/>
    <col min="516" max="769" width="9.140625" style="42"/>
    <col min="770" max="771" width="10.42578125" style="42" bestFit="1" customWidth="1"/>
    <col min="772" max="1025" width="9.140625" style="42"/>
    <col min="1026" max="1027" width="10.42578125" style="42" bestFit="1" customWidth="1"/>
    <col min="1028" max="1281" width="9.140625" style="42"/>
    <col min="1282" max="1283" width="10.42578125" style="42" bestFit="1" customWidth="1"/>
    <col min="1284" max="1537" width="9.140625" style="42"/>
    <col min="1538" max="1539" width="10.42578125" style="42" bestFit="1" customWidth="1"/>
    <col min="1540" max="1793" width="9.140625" style="42"/>
    <col min="1794" max="1795" width="10.42578125" style="42" bestFit="1" customWidth="1"/>
    <col min="1796" max="2049" width="9.140625" style="42"/>
    <col min="2050" max="2051" width="10.42578125" style="42" bestFit="1" customWidth="1"/>
    <col min="2052" max="2305" width="9.140625" style="42"/>
    <col min="2306" max="2307" width="10.42578125" style="42" bestFit="1" customWidth="1"/>
    <col min="2308" max="2561" width="9.140625" style="42"/>
    <col min="2562" max="2563" width="10.42578125" style="42" bestFit="1" customWidth="1"/>
    <col min="2564" max="2817" width="9.140625" style="42"/>
    <col min="2818" max="2819" width="10.42578125" style="42" bestFit="1" customWidth="1"/>
    <col min="2820" max="3073" width="9.140625" style="42"/>
    <col min="3074" max="3075" width="10.42578125" style="42" bestFit="1" customWidth="1"/>
    <col min="3076" max="3329" width="9.140625" style="42"/>
    <col min="3330" max="3331" width="10.42578125" style="42" bestFit="1" customWidth="1"/>
    <col min="3332" max="3585" width="9.140625" style="42"/>
    <col min="3586" max="3587" width="10.42578125" style="42" bestFit="1" customWidth="1"/>
    <col min="3588" max="3841" width="9.140625" style="42"/>
    <col min="3842" max="3843" width="10.42578125" style="42" bestFit="1" customWidth="1"/>
    <col min="3844" max="4097" width="9.140625" style="42"/>
    <col min="4098" max="4099" width="10.42578125" style="42" bestFit="1" customWidth="1"/>
    <col min="4100" max="4353" width="9.140625" style="42"/>
    <col min="4354" max="4355" width="10.42578125" style="42" bestFit="1" customWidth="1"/>
    <col min="4356" max="4609" width="9.140625" style="42"/>
    <col min="4610" max="4611" width="10.42578125" style="42" bestFit="1" customWidth="1"/>
    <col min="4612" max="4865" width="9.140625" style="42"/>
    <col min="4866" max="4867" width="10.42578125" style="42" bestFit="1" customWidth="1"/>
    <col min="4868" max="5121" width="9.140625" style="42"/>
    <col min="5122" max="5123" width="10.42578125" style="42" bestFit="1" customWidth="1"/>
    <col min="5124" max="5377" width="9.140625" style="42"/>
    <col min="5378" max="5379" width="10.42578125" style="42" bestFit="1" customWidth="1"/>
    <col min="5380" max="5633" width="9.140625" style="42"/>
    <col min="5634" max="5635" width="10.42578125" style="42" bestFit="1" customWidth="1"/>
    <col min="5636" max="5889" width="9.140625" style="42"/>
    <col min="5890" max="5891" width="10.42578125" style="42" bestFit="1" customWidth="1"/>
    <col min="5892" max="6145" width="9.140625" style="42"/>
    <col min="6146" max="6147" width="10.42578125" style="42" bestFit="1" customWidth="1"/>
    <col min="6148" max="6401" width="9.140625" style="42"/>
    <col min="6402" max="6403" width="10.42578125" style="42" bestFit="1" customWidth="1"/>
    <col min="6404" max="6657" width="9.140625" style="42"/>
    <col min="6658" max="6659" width="10.42578125" style="42" bestFit="1" customWidth="1"/>
    <col min="6660" max="6913" width="9.140625" style="42"/>
    <col min="6914" max="6915" width="10.42578125" style="42" bestFit="1" customWidth="1"/>
    <col min="6916" max="7169" width="9.140625" style="42"/>
    <col min="7170" max="7171" width="10.42578125" style="42" bestFit="1" customWidth="1"/>
    <col min="7172" max="7425" width="9.140625" style="42"/>
    <col min="7426" max="7427" width="10.42578125" style="42" bestFit="1" customWidth="1"/>
    <col min="7428" max="7681" width="9.140625" style="42"/>
    <col min="7682" max="7683" width="10.42578125" style="42" bestFit="1" customWidth="1"/>
    <col min="7684" max="7937" width="9.140625" style="42"/>
    <col min="7938" max="7939" width="10.42578125" style="42" bestFit="1" customWidth="1"/>
    <col min="7940" max="8193" width="9.140625" style="42"/>
    <col min="8194" max="8195" width="10.42578125" style="42" bestFit="1" customWidth="1"/>
    <col min="8196" max="8449" width="9.140625" style="42"/>
    <col min="8450" max="8451" width="10.42578125" style="42" bestFit="1" customWidth="1"/>
    <col min="8452" max="8705" width="9.140625" style="42"/>
    <col min="8706" max="8707" width="10.42578125" style="42" bestFit="1" customWidth="1"/>
    <col min="8708" max="8961" width="9.140625" style="42"/>
    <col min="8962" max="8963" width="10.42578125" style="42" bestFit="1" customWidth="1"/>
    <col min="8964" max="9217" width="9.140625" style="42"/>
    <col min="9218" max="9219" width="10.42578125" style="42" bestFit="1" customWidth="1"/>
    <col min="9220" max="9473" width="9.140625" style="42"/>
    <col min="9474" max="9475" width="10.42578125" style="42" bestFit="1" customWidth="1"/>
    <col min="9476" max="9729" width="9.140625" style="42"/>
    <col min="9730" max="9731" width="10.42578125" style="42" bestFit="1" customWidth="1"/>
    <col min="9732" max="9985" width="9.140625" style="42"/>
    <col min="9986" max="9987" width="10.42578125" style="42" bestFit="1" customWidth="1"/>
    <col min="9988" max="10241" width="9.140625" style="42"/>
    <col min="10242" max="10243" width="10.42578125" style="42" bestFit="1" customWidth="1"/>
    <col min="10244" max="10497" width="9.140625" style="42"/>
    <col min="10498" max="10499" width="10.42578125" style="42" bestFit="1" customWidth="1"/>
    <col min="10500" max="10753" width="9.140625" style="42"/>
    <col min="10754" max="10755" width="10.42578125" style="42" bestFit="1" customWidth="1"/>
    <col min="10756" max="11009" width="9.140625" style="42"/>
    <col min="11010" max="11011" width="10.42578125" style="42" bestFit="1" customWidth="1"/>
    <col min="11012" max="11265" width="9.140625" style="42"/>
    <col min="11266" max="11267" width="10.42578125" style="42" bestFit="1" customWidth="1"/>
    <col min="11268" max="11521" width="9.140625" style="42"/>
    <col min="11522" max="11523" width="10.42578125" style="42" bestFit="1" customWidth="1"/>
    <col min="11524" max="11777" width="9.140625" style="42"/>
    <col min="11778" max="11779" width="10.42578125" style="42" bestFit="1" customWidth="1"/>
    <col min="11780" max="12033" width="9.140625" style="42"/>
    <col min="12034" max="12035" width="10.42578125" style="42" bestFit="1" customWidth="1"/>
    <col min="12036" max="12289" width="9.140625" style="42"/>
    <col min="12290" max="12291" width="10.42578125" style="42" bestFit="1" customWidth="1"/>
    <col min="12292" max="12545" width="9.140625" style="42"/>
    <col min="12546" max="12547" width="10.42578125" style="42" bestFit="1" customWidth="1"/>
    <col min="12548" max="12801" width="9.140625" style="42"/>
    <col min="12802" max="12803" width="10.42578125" style="42" bestFit="1" customWidth="1"/>
    <col min="12804" max="13057" width="9.140625" style="42"/>
    <col min="13058" max="13059" width="10.42578125" style="42" bestFit="1" customWidth="1"/>
    <col min="13060" max="13313" width="9.140625" style="42"/>
    <col min="13314" max="13315" width="10.42578125" style="42" bestFit="1" customWidth="1"/>
    <col min="13316" max="13569" width="9.140625" style="42"/>
    <col min="13570" max="13571" width="10.42578125" style="42" bestFit="1" customWidth="1"/>
    <col min="13572" max="13825" width="9.140625" style="42"/>
    <col min="13826" max="13827" width="10.42578125" style="42" bestFit="1" customWidth="1"/>
    <col min="13828" max="14081" width="9.140625" style="42"/>
    <col min="14082" max="14083" width="10.42578125" style="42" bestFit="1" customWidth="1"/>
    <col min="14084" max="14337" width="9.140625" style="42"/>
    <col min="14338" max="14339" width="10.42578125" style="42" bestFit="1" customWidth="1"/>
    <col min="14340" max="14593" width="9.140625" style="42"/>
    <col min="14594" max="14595" width="10.42578125" style="42" bestFit="1" customWidth="1"/>
    <col min="14596" max="14849" width="9.140625" style="42"/>
    <col min="14850" max="14851" width="10.42578125" style="42" bestFit="1" customWidth="1"/>
    <col min="14852" max="15105" width="9.140625" style="42"/>
    <col min="15106" max="15107" width="10.42578125" style="42" bestFit="1" customWidth="1"/>
    <col min="15108" max="15361" width="9.140625" style="42"/>
    <col min="15362" max="15363" width="10.42578125" style="42" bestFit="1" customWidth="1"/>
    <col min="15364" max="15617" width="9.140625" style="42"/>
    <col min="15618" max="15619" width="10.42578125" style="42" bestFit="1" customWidth="1"/>
    <col min="15620" max="15873" width="9.140625" style="42"/>
    <col min="15874" max="15875" width="10.42578125" style="42" bestFit="1" customWidth="1"/>
    <col min="15876" max="16129" width="9.140625" style="42"/>
    <col min="16130" max="16131" width="10.42578125" style="42" bestFit="1" customWidth="1"/>
    <col min="16132" max="16384" width="9.140625" style="42"/>
  </cols>
  <sheetData>
    <row r="1" spans="1:10" ht="15" x14ac:dyDescent="0.25">
      <c r="A1" s="352" t="s">
        <v>0</v>
      </c>
      <c r="B1" s="353"/>
      <c r="C1" s="354" t="s">
        <v>586</v>
      </c>
      <c r="D1" s="355"/>
      <c r="E1" s="355"/>
      <c r="F1" s="355"/>
      <c r="G1" s="355"/>
      <c r="H1" s="356"/>
      <c r="I1" s="202"/>
      <c r="J1" s="203"/>
    </row>
    <row r="2" spans="1:10" ht="15" x14ac:dyDescent="0.25">
      <c r="A2" s="352" t="s">
        <v>1</v>
      </c>
      <c r="B2" s="353"/>
      <c r="C2" s="357" t="s">
        <v>587</v>
      </c>
      <c r="D2" s="358"/>
      <c r="E2" s="358"/>
      <c r="F2" s="359"/>
      <c r="G2" s="204" t="s">
        <v>2</v>
      </c>
      <c r="H2" s="43" t="s">
        <v>711</v>
      </c>
      <c r="I2" s="205"/>
      <c r="J2" s="206"/>
    </row>
    <row r="3" spans="1:10" ht="12.75" customHeight="1" x14ac:dyDescent="0.25">
      <c r="A3" s="360" t="s">
        <v>588</v>
      </c>
      <c r="B3" s="360"/>
      <c r="C3" s="361" t="s">
        <v>589</v>
      </c>
      <c r="D3" s="362"/>
      <c r="E3" s="362"/>
      <c r="F3" s="362"/>
      <c r="G3" s="362"/>
      <c r="H3" s="363"/>
      <c r="I3" s="205"/>
      <c r="J3" s="206"/>
    </row>
    <row r="4" spans="1:10" ht="12.75" customHeight="1" x14ac:dyDescent="0.25">
      <c r="A4" s="360" t="s">
        <v>3</v>
      </c>
      <c r="B4" s="360"/>
      <c r="C4" s="361" t="s">
        <v>590</v>
      </c>
      <c r="D4" s="362"/>
      <c r="E4" s="362"/>
      <c r="F4" s="362"/>
      <c r="G4" s="362"/>
      <c r="H4" s="363"/>
      <c r="I4" s="205"/>
      <c r="J4" s="207"/>
    </row>
    <row r="5" spans="1:10" x14ac:dyDescent="0.25">
      <c r="A5" s="360" t="s">
        <v>4</v>
      </c>
      <c r="B5" s="360"/>
      <c r="C5" s="347" t="s">
        <v>591</v>
      </c>
      <c r="D5" s="348"/>
      <c r="E5" s="348"/>
      <c r="F5" s="348"/>
      <c r="G5" s="348"/>
      <c r="H5" s="349"/>
      <c r="I5" s="364" t="s">
        <v>592</v>
      </c>
      <c r="J5" s="365"/>
    </row>
    <row r="6" spans="1:10" x14ac:dyDescent="0.25">
      <c r="A6" s="345" t="s">
        <v>593</v>
      </c>
      <c r="B6" s="346"/>
      <c r="C6" s="347" t="s">
        <v>636</v>
      </c>
      <c r="D6" s="348"/>
      <c r="E6" s="348"/>
      <c r="F6" s="348"/>
      <c r="G6" s="348"/>
      <c r="H6" s="349"/>
      <c r="I6" s="350" t="s">
        <v>594</v>
      </c>
      <c r="J6" s="351"/>
    </row>
    <row r="7" spans="1:10" x14ac:dyDescent="0.25">
      <c r="B7" s="44"/>
      <c r="C7" s="44"/>
      <c r="D7" s="44"/>
      <c r="E7" s="44"/>
      <c r="F7" s="44"/>
      <c r="G7" s="44"/>
      <c r="H7" s="44"/>
      <c r="I7" s="44"/>
    </row>
    <row r="8" spans="1:10" x14ac:dyDescent="0.25">
      <c r="B8" s="44"/>
      <c r="C8" s="44"/>
      <c r="D8" s="44"/>
      <c r="E8" s="44"/>
      <c r="F8" s="44"/>
      <c r="G8" s="44"/>
      <c r="H8" s="44"/>
      <c r="I8" s="44"/>
    </row>
    <row r="9" spans="1:10" x14ac:dyDescent="0.25">
      <c r="B9" s="44"/>
      <c r="C9" s="44"/>
      <c r="D9" s="44"/>
      <c r="E9" s="44"/>
      <c r="F9" s="44"/>
      <c r="G9" s="44"/>
      <c r="H9" s="44"/>
      <c r="I9" s="44"/>
    </row>
    <row r="10" spans="1:10" x14ac:dyDescent="0.25">
      <c r="B10" s="44"/>
      <c r="C10" s="44"/>
      <c r="D10" s="44"/>
      <c r="E10" s="44"/>
      <c r="F10" s="44"/>
      <c r="G10" s="44"/>
      <c r="H10" s="44"/>
      <c r="I10" s="44"/>
    </row>
    <row r="11" spans="1:10" x14ac:dyDescent="0.25">
      <c r="B11" s="44"/>
      <c r="C11" s="44"/>
      <c r="D11" s="44"/>
      <c r="E11" s="44"/>
      <c r="F11" s="44"/>
      <c r="G11" s="44"/>
      <c r="H11" s="44"/>
      <c r="I11" s="44"/>
    </row>
    <row r="12" spans="1:10" x14ac:dyDescent="0.25">
      <c r="B12" s="44"/>
      <c r="C12" s="44"/>
      <c r="D12" s="44"/>
      <c r="E12" s="44"/>
      <c r="F12" s="44"/>
      <c r="G12" s="44"/>
      <c r="H12" s="44"/>
      <c r="I12" s="44"/>
    </row>
    <row r="13" spans="1:10" x14ac:dyDescent="0.25">
      <c r="B13" s="44"/>
      <c r="C13" s="44"/>
      <c r="D13" s="44"/>
      <c r="E13" s="44"/>
      <c r="F13" s="44"/>
      <c r="G13" s="44"/>
      <c r="H13" s="44"/>
      <c r="I13" s="44"/>
    </row>
    <row r="14" spans="1:10" x14ac:dyDescent="0.25">
      <c r="B14" s="44"/>
      <c r="C14" s="44"/>
      <c r="D14" s="44"/>
      <c r="E14" s="44"/>
      <c r="F14" s="44"/>
      <c r="G14" s="44"/>
      <c r="H14" s="44"/>
      <c r="I14" s="44"/>
    </row>
    <row r="15" spans="1:10" x14ac:dyDescent="0.25">
      <c r="B15" s="44"/>
      <c r="C15" s="44"/>
      <c r="D15" s="44"/>
      <c r="E15" s="44"/>
      <c r="F15" s="44"/>
      <c r="G15" s="44"/>
      <c r="H15" s="44"/>
      <c r="I15" s="44"/>
    </row>
    <row r="16" spans="1:10" x14ac:dyDescent="0.25">
      <c r="B16" s="44"/>
      <c r="C16" s="44"/>
      <c r="D16" s="44"/>
      <c r="E16" s="44"/>
      <c r="F16" s="44"/>
      <c r="G16" s="44"/>
      <c r="H16" s="44"/>
      <c r="I16" s="44"/>
    </row>
    <row r="17" spans="1:10" x14ac:dyDescent="0.25">
      <c r="B17" s="44"/>
      <c r="C17" s="44"/>
      <c r="D17" s="44"/>
      <c r="E17" s="44"/>
      <c r="F17" s="44"/>
      <c r="G17" s="44"/>
      <c r="H17" s="44"/>
      <c r="I17" s="44"/>
    </row>
    <row r="25" spans="1:10" x14ac:dyDescent="0.25">
      <c r="A25" s="367" t="s">
        <v>595</v>
      </c>
      <c r="B25" s="368"/>
      <c r="C25" s="368"/>
      <c r="D25" s="368"/>
      <c r="E25" s="368"/>
      <c r="F25" s="368"/>
      <c r="G25" s="368"/>
      <c r="H25" s="368"/>
      <c r="I25" s="368"/>
      <c r="J25" s="368"/>
    </row>
    <row r="26" spans="1:10" x14ac:dyDescent="0.25">
      <c r="A26" s="368"/>
      <c r="B26" s="368"/>
      <c r="C26" s="368"/>
      <c r="D26" s="368"/>
      <c r="E26" s="368"/>
      <c r="F26" s="368"/>
      <c r="G26" s="368"/>
      <c r="H26" s="368"/>
      <c r="I26" s="368"/>
      <c r="J26" s="368"/>
    </row>
    <row r="27" spans="1:10" x14ac:dyDescent="0.25">
      <c r="A27" s="368"/>
      <c r="B27" s="368"/>
      <c r="C27" s="368"/>
      <c r="D27" s="368"/>
      <c r="E27" s="368"/>
      <c r="F27" s="368"/>
      <c r="G27" s="368"/>
      <c r="H27" s="368"/>
      <c r="I27" s="368"/>
      <c r="J27" s="368"/>
    </row>
    <row r="28" spans="1:10" x14ac:dyDescent="0.25">
      <c r="A28" s="368"/>
      <c r="B28" s="368"/>
      <c r="C28" s="368"/>
      <c r="D28" s="368"/>
      <c r="E28" s="368"/>
      <c r="F28" s="368"/>
      <c r="G28" s="368"/>
      <c r="H28" s="368"/>
      <c r="I28" s="368"/>
      <c r="J28" s="368"/>
    </row>
    <row r="29" spans="1:10" ht="12.75" customHeight="1" x14ac:dyDescent="0.25">
      <c r="A29" s="367" t="s">
        <v>596</v>
      </c>
      <c r="B29" s="368"/>
      <c r="C29" s="368"/>
      <c r="D29" s="368"/>
      <c r="E29" s="368"/>
      <c r="F29" s="368"/>
      <c r="G29" s="368"/>
      <c r="H29" s="368"/>
      <c r="I29" s="368"/>
      <c r="J29" s="368"/>
    </row>
    <row r="30" spans="1:10" ht="12.75" customHeight="1" x14ac:dyDescent="0.25">
      <c r="A30" s="368"/>
      <c r="B30" s="368"/>
      <c r="C30" s="368"/>
      <c r="D30" s="368"/>
      <c r="E30" s="368"/>
      <c r="F30" s="368"/>
      <c r="G30" s="368"/>
      <c r="H30" s="368"/>
      <c r="I30" s="368"/>
      <c r="J30" s="368"/>
    </row>
    <row r="31" spans="1:10" ht="12.75" customHeight="1" x14ac:dyDescent="0.25">
      <c r="A31" s="368"/>
      <c r="B31" s="368"/>
      <c r="C31" s="368"/>
      <c r="D31" s="368"/>
      <c r="E31" s="368"/>
      <c r="F31" s="368"/>
      <c r="G31" s="368"/>
      <c r="H31" s="368"/>
      <c r="I31" s="368"/>
      <c r="J31" s="368"/>
    </row>
    <row r="32" spans="1:10" ht="12.75" customHeight="1" x14ac:dyDescent="0.25">
      <c r="A32" s="368"/>
      <c r="B32" s="368"/>
      <c r="C32" s="368"/>
      <c r="D32" s="368"/>
      <c r="E32" s="368"/>
      <c r="F32" s="368"/>
      <c r="G32" s="368"/>
      <c r="H32" s="368"/>
      <c r="I32" s="368"/>
      <c r="J32" s="368"/>
    </row>
    <row r="42" spans="2:9" x14ac:dyDescent="0.25">
      <c r="B42" s="45"/>
      <c r="C42" s="45"/>
      <c r="D42" s="70"/>
      <c r="E42" s="71"/>
      <c r="F42" s="72"/>
      <c r="G42" s="45"/>
      <c r="H42" s="45"/>
      <c r="I42" s="45"/>
    </row>
    <row r="43" spans="2:9" x14ac:dyDescent="0.25">
      <c r="B43" s="45"/>
      <c r="C43" s="45"/>
      <c r="D43" s="70"/>
      <c r="E43" s="71"/>
      <c r="F43" s="72"/>
      <c r="G43" s="45"/>
      <c r="H43" s="45"/>
      <c r="I43" s="45"/>
    </row>
    <row r="44" spans="2:9" x14ac:dyDescent="0.25">
      <c r="B44" s="45"/>
      <c r="C44" s="45"/>
      <c r="D44" s="369"/>
      <c r="E44" s="370"/>
      <c r="F44" s="371"/>
      <c r="G44" s="45"/>
      <c r="H44" s="45"/>
      <c r="I44" s="45"/>
    </row>
    <row r="45" spans="2:9" x14ac:dyDescent="0.25">
      <c r="B45" s="45" t="s">
        <v>711</v>
      </c>
      <c r="C45" s="46">
        <v>46128</v>
      </c>
      <c r="D45" s="369" t="s">
        <v>655</v>
      </c>
      <c r="E45" s="370"/>
      <c r="F45" s="371"/>
      <c r="G45" s="45"/>
      <c r="H45" s="45"/>
      <c r="I45" s="45" t="s">
        <v>598</v>
      </c>
    </row>
    <row r="46" spans="2:9" x14ac:dyDescent="0.25">
      <c r="B46" s="45">
        <v>0</v>
      </c>
      <c r="C46" s="46">
        <v>46064</v>
      </c>
      <c r="D46" s="369" t="s">
        <v>597</v>
      </c>
      <c r="E46" s="370"/>
      <c r="F46" s="371"/>
      <c r="G46" s="45" t="s">
        <v>657</v>
      </c>
      <c r="H46" s="45" t="s">
        <v>658</v>
      </c>
      <c r="I46" s="45" t="s">
        <v>598</v>
      </c>
    </row>
    <row r="47" spans="2:9" x14ac:dyDescent="0.25">
      <c r="B47" s="208" t="s">
        <v>5</v>
      </c>
      <c r="C47" s="208" t="s">
        <v>6</v>
      </c>
      <c r="D47" s="372" t="s">
        <v>7</v>
      </c>
      <c r="E47" s="373"/>
      <c r="F47" s="374"/>
      <c r="G47" s="208" t="s">
        <v>599</v>
      </c>
      <c r="H47" s="208" t="s">
        <v>8</v>
      </c>
      <c r="I47" s="208" t="s">
        <v>9</v>
      </c>
    </row>
    <row r="49" spans="2:26" x14ac:dyDescent="0.25">
      <c r="B49" s="366" t="s">
        <v>600</v>
      </c>
      <c r="C49" s="366"/>
      <c r="D49" s="366"/>
      <c r="E49" s="366"/>
      <c r="F49" s="366"/>
      <c r="G49" s="366"/>
      <c r="H49" s="366"/>
      <c r="I49" s="366"/>
    </row>
    <row r="50" spans="2:26" x14ac:dyDescent="0.25">
      <c r="B50" s="366" t="s">
        <v>601</v>
      </c>
      <c r="C50" s="366"/>
      <c r="D50" s="366"/>
      <c r="E50" s="366"/>
      <c r="F50" s="366"/>
      <c r="G50" s="366"/>
      <c r="H50" s="366"/>
      <c r="I50" s="366"/>
    </row>
    <row r="57" spans="2:26" x14ac:dyDescent="0.25">
      <c r="F57" s="47"/>
    </row>
    <row r="58" spans="2:26" x14ac:dyDescent="0.25">
      <c r="F58" s="48"/>
    </row>
    <row r="60" spans="2:26" x14ac:dyDescent="0.25">
      <c r="Z60" s="42" t="s">
        <v>656</v>
      </c>
    </row>
  </sheetData>
  <mergeCells count="22">
    <mergeCell ref="B49:I49"/>
    <mergeCell ref="B50:I50"/>
    <mergeCell ref="A25:J28"/>
    <mergeCell ref="A29:J32"/>
    <mergeCell ref="D44:F44"/>
    <mergeCell ref="D45:F45"/>
    <mergeCell ref="D46:F46"/>
    <mergeCell ref="D47:F47"/>
    <mergeCell ref="A6:B6"/>
    <mergeCell ref="C6:H6"/>
    <mergeCell ref="I6:J6"/>
    <mergeCell ref="A1:B1"/>
    <mergeCell ref="C1:H1"/>
    <mergeCell ref="A2:B2"/>
    <mergeCell ref="C2:F2"/>
    <mergeCell ref="A3:B3"/>
    <mergeCell ref="C3:H3"/>
    <mergeCell ref="A4:B4"/>
    <mergeCell ref="C4:H4"/>
    <mergeCell ref="A5:B5"/>
    <mergeCell ref="C5:H5"/>
    <mergeCell ref="I5:J5"/>
  </mergeCells>
  <pageMargins left="1" right="1" top="1" bottom="1" header="0.5" footer="0.5"/>
  <pageSetup paperSize="9" scale="84" orientation="portrait" r:id="rId1"/>
  <headerFooter>
    <oddFooter>&amp;C&amp;F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CD77-57BF-4F46-A3BA-537BC55F0BDC}">
  <dimension ref="A1:T105"/>
  <sheetViews>
    <sheetView view="pageBreakPreview" zoomScaleNormal="100" zoomScaleSheetLayoutView="100" workbookViewId="0">
      <selection activeCell="M30" sqref="M30"/>
    </sheetView>
  </sheetViews>
  <sheetFormatPr defaultRowHeight="15" x14ac:dyDescent="0.25"/>
  <cols>
    <col min="1" max="1" width="19.42578125" style="91" bestFit="1" customWidth="1"/>
    <col min="2" max="2" width="57" style="113" customWidth="1"/>
    <col min="3" max="3" width="10" style="91" bestFit="1" customWidth="1"/>
    <col min="4" max="4" width="15" style="114" customWidth="1"/>
    <col min="5" max="5" width="8.5703125" style="91" customWidth="1"/>
    <col min="6" max="6" width="10.85546875" style="91" customWidth="1"/>
    <col min="7" max="7" width="12.7109375" style="91" bestFit="1" customWidth="1"/>
    <col min="8" max="8" width="14.28515625" style="91" customWidth="1"/>
    <col min="9" max="9" width="10" style="91" customWidth="1"/>
    <col min="10" max="10" width="19.5703125" style="91" bestFit="1" customWidth="1"/>
    <col min="11" max="11" width="19.85546875" style="91" bestFit="1" customWidth="1"/>
    <col min="12" max="12" width="17.5703125" style="91" bestFit="1" customWidth="1"/>
    <col min="13" max="13" width="17.5703125" style="91" customWidth="1"/>
    <col min="14" max="14" width="14.5703125" style="91" bestFit="1" customWidth="1"/>
    <col min="15" max="15" width="22.28515625" style="91" bestFit="1" customWidth="1"/>
    <col min="16" max="16" width="10.28515625" style="91" customWidth="1"/>
    <col min="17" max="17" width="9.5703125" customWidth="1"/>
    <col min="18" max="18" width="7.85546875" style="12" customWidth="1"/>
    <col min="19" max="258" width="9.140625" style="91"/>
    <col min="259" max="259" width="17.28515625" style="91" customWidth="1"/>
    <col min="260" max="260" width="57" style="91" customWidth="1"/>
    <col min="261" max="261" width="10" style="91" bestFit="1" customWidth="1"/>
    <col min="262" max="262" width="17.42578125" style="91" bestFit="1" customWidth="1"/>
    <col min="263" max="263" width="12.85546875" style="91" customWidth="1"/>
    <col min="264" max="264" width="10.85546875" style="91" customWidth="1"/>
    <col min="265" max="265" width="12.7109375" style="91" bestFit="1" customWidth="1"/>
    <col min="266" max="266" width="14.28515625" style="91" customWidth="1"/>
    <col min="267" max="267" width="13.42578125" style="91" customWidth="1"/>
    <col min="268" max="268" width="14.85546875" style="91" customWidth="1"/>
    <col min="269" max="269" width="10.7109375" style="91" customWidth="1"/>
    <col min="270" max="270" width="14.5703125" style="91" bestFit="1" customWidth="1"/>
    <col min="271" max="271" width="14.140625" style="91" customWidth="1"/>
    <col min="272" max="272" width="10.28515625" style="91" customWidth="1"/>
    <col min="273" max="273" width="9.5703125" style="91" customWidth="1"/>
    <col min="274" max="274" width="5.28515625" style="91" bestFit="1" customWidth="1"/>
    <col min="275" max="514" width="9.140625" style="91"/>
    <col min="515" max="515" width="17.28515625" style="91" customWidth="1"/>
    <col min="516" max="516" width="57" style="91" customWidth="1"/>
    <col min="517" max="517" width="10" style="91" bestFit="1" customWidth="1"/>
    <col min="518" max="518" width="17.42578125" style="91" bestFit="1" customWidth="1"/>
    <col min="519" max="519" width="12.85546875" style="91" customWidth="1"/>
    <col min="520" max="520" width="10.85546875" style="91" customWidth="1"/>
    <col min="521" max="521" width="12.7109375" style="91" bestFit="1" customWidth="1"/>
    <col min="522" max="522" width="14.28515625" style="91" customWidth="1"/>
    <col min="523" max="523" width="13.42578125" style="91" customWidth="1"/>
    <col min="524" max="524" width="14.85546875" style="91" customWidth="1"/>
    <col min="525" max="525" width="10.7109375" style="91" customWidth="1"/>
    <col min="526" max="526" width="14.5703125" style="91" bestFit="1" customWidth="1"/>
    <col min="527" max="527" width="14.140625" style="91" customWidth="1"/>
    <col min="528" max="528" width="10.28515625" style="91" customWidth="1"/>
    <col min="529" max="529" width="9.5703125" style="91" customWidth="1"/>
    <col min="530" max="530" width="5.28515625" style="91" bestFit="1" customWidth="1"/>
    <col min="531" max="770" width="9.140625" style="91"/>
    <col min="771" max="771" width="17.28515625" style="91" customWidth="1"/>
    <col min="772" max="772" width="57" style="91" customWidth="1"/>
    <col min="773" max="773" width="10" style="91" bestFit="1" customWidth="1"/>
    <col min="774" max="774" width="17.42578125" style="91" bestFit="1" customWidth="1"/>
    <col min="775" max="775" width="12.85546875" style="91" customWidth="1"/>
    <col min="776" max="776" width="10.85546875" style="91" customWidth="1"/>
    <col min="777" max="777" width="12.7109375" style="91" bestFit="1" customWidth="1"/>
    <col min="778" max="778" width="14.28515625" style="91" customWidth="1"/>
    <col min="779" max="779" width="13.42578125" style="91" customWidth="1"/>
    <col min="780" max="780" width="14.85546875" style="91" customWidth="1"/>
    <col min="781" max="781" width="10.7109375" style="91" customWidth="1"/>
    <col min="782" max="782" width="14.5703125" style="91" bestFit="1" customWidth="1"/>
    <col min="783" max="783" width="14.140625" style="91" customWidth="1"/>
    <col min="784" max="784" width="10.28515625" style="91" customWidth="1"/>
    <col min="785" max="785" width="9.5703125" style="91" customWidth="1"/>
    <col min="786" max="786" width="5.28515625" style="91" bestFit="1" customWidth="1"/>
    <col min="787" max="1026" width="9.140625" style="91"/>
    <col min="1027" max="1027" width="17.28515625" style="91" customWidth="1"/>
    <col min="1028" max="1028" width="57" style="91" customWidth="1"/>
    <col min="1029" max="1029" width="10" style="91" bestFit="1" customWidth="1"/>
    <col min="1030" max="1030" width="17.42578125" style="91" bestFit="1" customWidth="1"/>
    <col min="1031" max="1031" width="12.85546875" style="91" customWidth="1"/>
    <col min="1032" max="1032" width="10.85546875" style="91" customWidth="1"/>
    <col min="1033" max="1033" width="12.7109375" style="91" bestFit="1" customWidth="1"/>
    <col min="1034" max="1034" width="14.28515625" style="91" customWidth="1"/>
    <col min="1035" max="1035" width="13.42578125" style="91" customWidth="1"/>
    <col min="1036" max="1036" width="14.85546875" style="91" customWidth="1"/>
    <col min="1037" max="1037" width="10.7109375" style="91" customWidth="1"/>
    <col min="1038" max="1038" width="14.5703125" style="91" bestFit="1" customWidth="1"/>
    <col min="1039" max="1039" width="14.140625" style="91" customWidth="1"/>
    <col min="1040" max="1040" width="10.28515625" style="91" customWidth="1"/>
    <col min="1041" max="1041" width="9.5703125" style="91" customWidth="1"/>
    <col min="1042" max="1042" width="5.28515625" style="91" bestFit="1" customWidth="1"/>
    <col min="1043" max="1282" width="9.140625" style="91"/>
    <col min="1283" max="1283" width="17.28515625" style="91" customWidth="1"/>
    <col min="1284" max="1284" width="57" style="91" customWidth="1"/>
    <col min="1285" max="1285" width="10" style="91" bestFit="1" customWidth="1"/>
    <col min="1286" max="1286" width="17.42578125" style="91" bestFit="1" customWidth="1"/>
    <col min="1287" max="1287" width="12.85546875" style="91" customWidth="1"/>
    <col min="1288" max="1288" width="10.85546875" style="91" customWidth="1"/>
    <col min="1289" max="1289" width="12.7109375" style="91" bestFit="1" customWidth="1"/>
    <col min="1290" max="1290" width="14.28515625" style="91" customWidth="1"/>
    <col min="1291" max="1291" width="13.42578125" style="91" customWidth="1"/>
    <col min="1292" max="1292" width="14.85546875" style="91" customWidth="1"/>
    <col min="1293" max="1293" width="10.7109375" style="91" customWidth="1"/>
    <col min="1294" max="1294" width="14.5703125" style="91" bestFit="1" customWidth="1"/>
    <col min="1295" max="1295" width="14.140625" style="91" customWidth="1"/>
    <col min="1296" max="1296" width="10.28515625" style="91" customWidth="1"/>
    <col min="1297" max="1297" width="9.5703125" style="91" customWidth="1"/>
    <col min="1298" max="1298" width="5.28515625" style="91" bestFit="1" customWidth="1"/>
    <col min="1299" max="1538" width="9.140625" style="91"/>
    <col min="1539" max="1539" width="17.28515625" style="91" customWidth="1"/>
    <col min="1540" max="1540" width="57" style="91" customWidth="1"/>
    <col min="1541" max="1541" width="10" style="91" bestFit="1" customWidth="1"/>
    <col min="1542" max="1542" width="17.42578125" style="91" bestFit="1" customWidth="1"/>
    <col min="1543" max="1543" width="12.85546875" style="91" customWidth="1"/>
    <col min="1544" max="1544" width="10.85546875" style="91" customWidth="1"/>
    <col min="1545" max="1545" width="12.7109375" style="91" bestFit="1" customWidth="1"/>
    <col min="1546" max="1546" width="14.28515625" style="91" customWidth="1"/>
    <col min="1547" max="1547" width="13.42578125" style="91" customWidth="1"/>
    <col min="1548" max="1548" width="14.85546875" style="91" customWidth="1"/>
    <col min="1549" max="1549" width="10.7109375" style="91" customWidth="1"/>
    <col min="1550" max="1550" width="14.5703125" style="91" bestFit="1" customWidth="1"/>
    <col min="1551" max="1551" width="14.140625" style="91" customWidth="1"/>
    <col min="1552" max="1552" width="10.28515625" style="91" customWidth="1"/>
    <col min="1553" max="1553" width="9.5703125" style="91" customWidth="1"/>
    <col min="1554" max="1554" width="5.28515625" style="91" bestFit="1" customWidth="1"/>
    <col min="1555" max="1794" width="9.140625" style="91"/>
    <col min="1795" max="1795" width="17.28515625" style="91" customWidth="1"/>
    <col min="1796" max="1796" width="57" style="91" customWidth="1"/>
    <col min="1797" max="1797" width="10" style="91" bestFit="1" customWidth="1"/>
    <col min="1798" max="1798" width="17.42578125" style="91" bestFit="1" customWidth="1"/>
    <col min="1799" max="1799" width="12.85546875" style="91" customWidth="1"/>
    <col min="1800" max="1800" width="10.85546875" style="91" customWidth="1"/>
    <col min="1801" max="1801" width="12.7109375" style="91" bestFit="1" customWidth="1"/>
    <col min="1802" max="1802" width="14.28515625" style="91" customWidth="1"/>
    <col min="1803" max="1803" width="13.42578125" style="91" customWidth="1"/>
    <col min="1804" max="1804" width="14.85546875" style="91" customWidth="1"/>
    <col min="1805" max="1805" width="10.7109375" style="91" customWidth="1"/>
    <col min="1806" max="1806" width="14.5703125" style="91" bestFit="1" customWidth="1"/>
    <col min="1807" max="1807" width="14.140625" style="91" customWidth="1"/>
    <col min="1808" max="1808" width="10.28515625" style="91" customWidth="1"/>
    <col min="1809" max="1809" width="9.5703125" style="91" customWidth="1"/>
    <col min="1810" max="1810" width="5.28515625" style="91" bestFit="1" customWidth="1"/>
    <col min="1811" max="2050" width="9.140625" style="91"/>
    <col min="2051" max="2051" width="17.28515625" style="91" customWidth="1"/>
    <col min="2052" max="2052" width="57" style="91" customWidth="1"/>
    <col min="2053" max="2053" width="10" style="91" bestFit="1" customWidth="1"/>
    <col min="2054" max="2054" width="17.42578125" style="91" bestFit="1" customWidth="1"/>
    <col min="2055" max="2055" width="12.85546875" style="91" customWidth="1"/>
    <col min="2056" max="2056" width="10.85546875" style="91" customWidth="1"/>
    <col min="2057" max="2057" width="12.7109375" style="91" bestFit="1" customWidth="1"/>
    <col min="2058" max="2058" width="14.28515625" style="91" customWidth="1"/>
    <col min="2059" max="2059" width="13.42578125" style="91" customWidth="1"/>
    <col min="2060" max="2060" width="14.85546875" style="91" customWidth="1"/>
    <col min="2061" max="2061" width="10.7109375" style="91" customWidth="1"/>
    <col min="2062" max="2062" width="14.5703125" style="91" bestFit="1" customWidth="1"/>
    <col min="2063" max="2063" width="14.140625" style="91" customWidth="1"/>
    <col min="2064" max="2064" width="10.28515625" style="91" customWidth="1"/>
    <col min="2065" max="2065" width="9.5703125" style="91" customWidth="1"/>
    <col min="2066" max="2066" width="5.28515625" style="91" bestFit="1" customWidth="1"/>
    <col min="2067" max="2306" width="9.140625" style="91"/>
    <col min="2307" max="2307" width="17.28515625" style="91" customWidth="1"/>
    <col min="2308" max="2308" width="57" style="91" customWidth="1"/>
    <col min="2309" max="2309" width="10" style="91" bestFit="1" customWidth="1"/>
    <col min="2310" max="2310" width="17.42578125" style="91" bestFit="1" customWidth="1"/>
    <col min="2311" max="2311" width="12.85546875" style="91" customWidth="1"/>
    <col min="2312" max="2312" width="10.85546875" style="91" customWidth="1"/>
    <col min="2313" max="2313" width="12.7109375" style="91" bestFit="1" customWidth="1"/>
    <col min="2314" max="2314" width="14.28515625" style="91" customWidth="1"/>
    <col min="2315" max="2315" width="13.42578125" style="91" customWidth="1"/>
    <col min="2316" max="2316" width="14.85546875" style="91" customWidth="1"/>
    <col min="2317" max="2317" width="10.7109375" style="91" customWidth="1"/>
    <col min="2318" max="2318" width="14.5703125" style="91" bestFit="1" customWidth="1"/>
    <col min="2319" max="2319" width="14.140625" style="91" customWidth="1"/>
    <col min="2320" max="2320" width="10.28515625" style="91" customWidth="1"/>
    <col min="2321" max="2321" width="9.5703125" style="91" customWidth="1"/>
    <col min="2322" max="2322" width="5.28515625" style="91" bestFit="1" customWidth="1"/>
    <col min="2323" max="2562" width="9.140625" style="91"/>
    <col min="2563" max="2563" width="17.28515625" style="91" customWidth="1"/>
    <col min="2564" max="2564" width="57" style="91" customWidth="1"/>
    <col min="2565" max="2565" width="10" style="91" bestFit="1" customWidth="1"/>
    <col min="2566" max="2566" width="17.42578125" style="91" bestFit="1" customWidth="1"/>
    <col min="2567" max="2567" width="12.85546875" style="91" customWidth="1"/>
    <col min="2568" max="2568" width="10.85546875" style="91" customWidth="1"/>
    <col min="2569" max="2569" width="12.7109375" style="91" bestFit="1" customWidth="1"/>
    <col min="2570" max="2570" width="14.28515625" style="91" customWidth="1"/>
    <col min="2571" max="2571" width="13.42578125" style="91" customWidth="1"/>
    <col min="2572" max="2572" width="14.85546875" style="91" customWidth="1"/>
    <col min="2573" max="2573" width="10.7109375" style="91" customWidth="1"/>
    <col min="2574" max="2574" width="14.5703125" style="91" bestFit="1" customWidth="1"/>
    <col min="2575" max="2575" width="14.140625" style="91" customWidth="1"/>
    <col min="2576" max="2576" width="10.28515625" style="91" customWidth="1"/>
    <col min="2577" max="2577" width="9.5703125" style="91" customWidth="1"/>
    <col min="2578" max="2578" width="5.28515625" style="91" bestFit="1" customWidth="1"/>
    <col min="2579" max="2818" width="9.140625" style="91"/>
    <col min="2819" max="2819" width="17.28515625" style="91" customWidth="1"/>
    <col min="2820" max="2820" width="57" style="91" customWidth="1"/>
    <col min="2821" max="2821" width="10" style="91" bestFit="1" customWidth="1"/>
    <col min="2822" max="2822" width="17.42578125" style="91" bestFit="1" customWidth="1"/>
    <col min="2823" max="2823" width="12.85546875" style="91" customWidth="1"/>
    <col min="2824" max="2824" width="10.85546875" style="91" customWidth="1"/>
    <col min="2825" max="2825" width="12.7109375" style="91" bestFit="1" customWidth="1"/>
    <col min="2826" max="2826" width="14.28515625" style="91" customWidth="1"/>
    <col min="2827" max="2827" width="13.42578125" style="91" customWidth="1"/>
    <col min="2828" max="2828" width="14.85546875" style="91" customWidth="1"/>
    <col min="2829" max="2829" width="10.7109375" style="91" customWidth="1"/>
    <col min="2830" max="2830" width="14.5703125" style="91" bestFit="1" customWidth="1"/>
    <col min="2831" max="2831" width="14.140625" style="91" customWidth="1"/>
    <col min="2832" max="2832" width="10.28515625" style="91" customWidth="1"/>
    <col min="2833" max="2833" width="9.5703125" style="91" customWidth="1"/>
    <col min="2834" max="2834" width="5.28515625" style="91" bestFit="1" customWidth="1"/>
    <col min="2835" max="3074" width="9.140625" style="91"/>
    <col min="3075" max="3075" width="17.28515625" style="91" customWidth="1"/>
    <col min="3076" max="3076" width="57" style="91" customWidth="1"/>
    <col min="3077" max="3077" width="10" style="91" bestFit="1" customWidth="1"/>
    <col min="3078" max="3078" width="17.42578125" style="91" bestFit="1" customWidth="1"/>
    <col min="3079" max="3079" width="12.85546875" style="91" customWidth="1"/>
    <col min="3080" max="3080" width="10.85546875" style="91" customWidth="1"/>
    <col min="3081" max="3081" width="12.7109375" style="91" bestFit="1" customWidth="1"/>
    <col min="3082" max="3082" width="14.28515625" style="91" customWidth="1"/>
    <col min="3083" max="3083" width="13.42578125" style="91" customWidth="1"/>
    <col min="3084" max="3084" width="14.85546875" style="91" customWidth="1"/>
    <col min="3085" max="3085" width="10.7109375" style="91" customWidth="1"/>
    <col min="3086" max="3086" width="14.5703125" style="91" bestFit="1" customWidth="1"/>
    <col min="3087" max="3087" width="14.140625" style="91" customWidth="1"/>
    <col min="3088" max="3088" width="10.28515625" style="91" customWidth="1"/>
    <col min="3089" max="3089" width="9.5703125" style="91" customWidth="1"/>
    <col min="3090" max="3090" width="5.28515625" style="91" bestFit="1" customWidth="1"/>
    <col min="3091" max="3330" width="9.140625" style="91"/>
    <col min="3331" max="3331" width="17.28515625" style="91" customWidth="1"/>
    <col min="3332" max="3332" width="57" style="91" customWidth="1"/>
    <col min="3333" max="3333" width="10" style="91" bestFit="1" customWidth="1"/>
    <col min="3334" max="3334" width="17.42578125" style="91" bestFit="1" customWidth="1"/>
    <col min="3335" max="3335" width="12.85546875" style="91" customWidth="1"/>
    <col min="3336" max="3336" width="10.85546875" style="91" customWidth="1"/>
    <col min="3337" max="3337" width="12.7109375" style="91" bestFit="1" customWidth="1"/>
    <col min="3338" max="3338" width="14.28515625" style="91" customWidth="1"/>
    <col min="3339" max="3339" width="13.42578125" style="91" customWidth="1"/>
    <col min="3340" max="3340" width="14.85546875" style="91" customWidth="1"/>
    <col min="3341" max="3341" width="10.7109375" style="91" customWidth="1"/>
    <col min="3342" max="3342" width="14.5703125" style="91" bestFit="1" customWidth="1"/>
    <col min="3343" max="3343" width="14.140625" style="91" customWidth="1"/>
    <col min="3344" max="3344" width="10.28515625" style="91" customWidth="1"/>
    <col min="3345" max="3345" width="9.5703125" style="91" customWidth="1"/>
    <col min="3346" max="3346" width="5.28515625" style="91" bestFit="1" customWidth="1"/>
    <col min="3347" max="3586" width="9.140625" style="91"/>
    <col min="3587" max="3587" width="17.28515625" style="91" customWidth="1"/>
    <col min="3588" max="3588" width="57" style="91" customWidth="1"/>
    <col min="3589" max="3589" width="10" style="91" bestFit="1" customWidth="1"/>
    <col min="3590" max="3590" width="17.42578125" style="91" bestFit="1" customWidth="1"/>
    <col min="3591" max="3591" width="12.85546875" style="91" customWidth="1"/>
    <col min="3592" max="3592" width="10.85546875" style="91" customWidth="1"/>
    <col min="3593" max="3593" width="12.7109375" style="91" bestFit="1" customWidth="1"/>
    <col min="3594" max="3594" width="14.28515625" style="91" customWidth="1"/>
    <col min="3595" max="3595" width="13.42578125" style="91" customWidth="1"/>
    <col min="3596" max="3596" width="14.85546875" style="91" customWidth="1"/>
    <col min="3597" max="3597" width="10.7109375" style="91" customWidth="1"/>
    <col min="3598" max="3598" width="14.5703125" style="91" bestFit="1" customWidth="1"/>
    <col min="3599" max="3599" width="14.140625" style="91" customWidth="1"/>
    <col min="3600" max="3600" width="10.28515625" style="91" customWidth="1"/>
    <col min="3601" max="3601" width="9.5703125" style="91" customWidth="1"/>
    <col min="3602" max="3602" width="5.28515625" style="91" bestFit="1" customWidth="1"/>
    <col min="3603" max="3842" width="9.140625" style="91"/>
    <col min="3843" max="3843" width="17.28515625" style="91" customWidth="1"/>
    <col min="3844" max="3844" width="57" style="91" customWidth="1"/>
    <col min="3845" max="3845" width="10" style="91" bestFit="1" customWidth="1"/>
    <col min="3846" max="3846" width="17.42578125" style="91" bestFit="1" customWidth="1"/>
    <col min="3847" max="3847" width="12.85546875" style="91" customWidth="1"/>
    <col min="3848" max="3848" width="10.85546875" style="91" customWidth="1"/>
    <col min="3849" max="3849" width="12.7109375" style="91" bestFit="1" customWidth="1"/>
    <col min="3850" max="3850" width="14.28515625" style="91" customWidth="1"/>
    <col min="3851" max="3851" width="13.42578125" style="91" customWidth="1"/>
    <col min="3852" max="3852" width="14.85546875" style="91" customWidth="1"/>
    <col min="3853" max="3853" width="10.7109375" style="91" customWidth="1"/>
    <col min="3854" max="3854" width="14.5703125" style="91" bestFit="1" customWidth="1"/>
    <col min="3855" max="3855" width="14.140625" style="91" customWidth="1"/>
    <col min="3856" max="3856" width="10.28515625" style="91" customWidth="1"/>
    <col min="3857" max="3857" width="9.5703125" style="91" customWidth="1"/>
    <col min="3858" max="3858" width="5.28515625" style="91" bestFit="1" customWidth="1"/>
    <col min="3859" max="4098" width="9.140625" style="91"/>
    <col min="4099" max="4099" width="17.28515625" style="91" customWidth="1"/>
    <col min="4100" max="4100" width="57" style="91" customWidth="1"/>
    <col min="4101" max="4101" width="10" style="91" bestFit="1" customWidth="1"/>
    <col min="4102" max="4102" width="17.42578125" style="91" bestFit="1" customWidth="1"/>
    <col min="4103" max="4103" width="12.85546875" style="91" customWidth="1"/>
    <col min="4104" max="4104" width="10.85546875" style="91" customWidth="1"/>
    <col min="4105" max="4105" width="12.7109375" style="91" bestFit="1" customWidth="1"/>
    <col min="4106" max="4106" width="14.28515625" style="91" customWidth="1"/>
    <col min="4107" max="4107" width="13.42578125" style="91" customWidth="1"/>
    <col min="4108" max="4108" width="14.85546875" style="91" customWidth="1"/>
    <col min="4109" max="4109" width="10.7109375" style="91" customWidth="1"/>
    <col min="4110" max="4110" width="14.5703125" style="91" bestFit="1" customWidth="1"/>
    <col min="4111" max="4111" width="14.140625" style="91" customWidth="1"/>
    <col min="4112" max="4112" width="10.28515625" style="91" customWidth="1"/>
    <col min="4113" max="4113" width="9.5703125" style="91" customWidth="1"/>
    <col min="4114" max="4114" width="5.28515625" style="91" bestFit="1" customWidth="1"/>
    <col min="4115" max="4354" width="9.140625" style="91"/>
    <col min="4355" max="4355" width="17.28515625" style="91" customWidth="1"/>
    <col min="4356" max="4356" width="57" style="91" customWidth="1"/>
    <col min="4357" max="4357" width="10" style="91" bestFit="1" customWidth="1"/>
    <col min="4358" max="4358" width="17.42578125" style="91" bestFit="1" customWidth="1"/>
    <col min="4359" max="4359" width="12.85546875" style="91" customWidth="1"/>
    <col min="4360" max="4360" width="10.85546875" style="91" customWidth="1"/>
    <col min="4361" max="4361" width="12.7109375" style="91" bestFit="1" customWidth="1"/>
    <col min="4362" max="4362" width="14.28515625" style="91" customWidth="1"/>
    <col min="4363" max="4363" width="13.42578125" style="91" customWidth="1"/>
    <col min="4364" max="4364" width="14.85546875" style="91" customWidth="1"/>
    <col min="4365" max="4365" width="10.7109375" style="91" customWidth="1"/>
    <col min="4366" max="4366" width="14.5703125" style="91" bestFit="1" customWidth="1"/>
    <col min="4367" max="4367" width="14.140625" style="91" customWidth="1"/>
    <col min="4368" max="4368" width="10.28515625" style="91" customWidth="1"/>
    <col min="4369" max="4369" width="9.5703125" style="91" customWidth="1"/>
    <col min="4370" max="4370" width="5.28515625" style="91" bestFit="1" customWidth="1"/>
    <col min="4371" max="4610" width="9.140625" style="91"/>
    <col min="4611" max="4611" width="17.28515625" style="91" customWidth="1"/>
    <col min="4612" max="4612" width="57" style="91" customWidth="1"/>
    <col min="4613" max="4613" width="10" style="91" bestFit="1" customWidth="1"/>
    <col min="4614" max="4614" width="17.42578125" style="91" bestFit="1" customWidth="1"/>
    <col min="4615" max="4615" width="12.85546875" style="91" customWidth="1"/>
    <col min="4616" max="4616" width="10.85546875" style="91" customWidth="1"/>
    <col min="4617" max="4617" width="12.7109375" style="91" bestFit="1" customWidth="1"/>
    <col min="4618" max="4618" width="14.28515625" style="91" customWidth="1"/>
    <col min="4619" max="4619" width="13.42578125" style="91" customWidth="1"/>
    <col min="4620" max="4620" width="14.85546875" style="91" customWidth="1"/>
    <col min="4621" max="4621" width="10.7109375" style="91" customWidth="1"/>
    <col min="4622" max="4622" width="14.5703125" style="91" bestFit="1" customWidth="1"/>
    <col min="4623" max="4623" width="14.140625" style="91" customWidth="1"/>
    <col min="4624" max="4624" width="10.28515625" style="91" customWidth="1"/>
    <col min="4625" max="4625" width="9.5703125" style="91" customWidth="1"/>
    <col min="4626" max="4626" width="5.28515625" style="91" bestFit="1" customWidth="1"/>
    <col min="4627" max="4866" width="9.140625" style="91"/>
    <col min="4867" max="4867" width="17.28515625" style="91" customWidth="1"/>
    <col min="4868" max="4868" width="57" style="91" customWidth="1"/>
    <col min="4869" max="4869" width="10" style="91" bestFit="1" customWidth="1"/>
    <col min="4870" max="4870" width="17.42578125" style="91" bestFit="1" customWidth="1"/>
    <col min="4871" max="4871" width="12.85546875" style="91" customWidth="1"/>
    <col min="4872" max="4872" width="10.85546875" style="91" customWidth="1"/>
    <col min="4873" max="4873" width="12.7109375" style="91" bestFit="1" customWidth="1"/>
    <col min="4874" max="4874" width="14.28515625" style="91" customWidth="1"/>
    <col min="4875" max="4875" width="13.42578125" style="91" customWidth="1"/>
    <col min="4876" max="4876" width="14.85546875" style="91" customWidth="1"/>
    <col min="4877" max="4877" width="10.7109375" style="91" customWidth="1"/>
    <col min="4878" max="4878" width="14.5703125" style="91" bestFit="1" customWidth="1"/>
    <col min="4879" max="4879" width="14.140625" style="91" customWidth="1"/>
    <col min="4880" max="4880" width="10.28515625" style="91" customWidth="1"/>
    <col min="4881" max="4881" width="9.5703125" style="91" customWidth="1"/>
    <col min="4882" max="4882" width="5.28515625" style="91" bestFit="1" customWidth="1"/>
    <col min="4883" max="5122" width="9.140625" style="91"/>
    <col min="5123" max="5123" width="17.28515625" style="91" customWidth="1"/>
    <col min="5124" max="5124" width="57" style="91" customWidth="1"/>
    <col min="5125" max="5125" width="10" style="91" bestFit="1" customWidth="1"/>
    <col min="5126" max="5126" width="17.42578125" style="91" bestFit="1" customWidth="1"/>
    <col min="5127" max="5127" width="12.85546875" style="91" customWidth="1"/>
    <col min="5128" max="5128" width="10.85546875" style="91" customWidth="1"/>
    <col min="5129" max="5129" width="12.7109375" style="91" bestFit="1" customWidth="1"/>
    <col min="5130" max="5130" width="14.28515625" style="91" customWidth="1"/>
    <col min="5131" max="5131" width="13.42578125" style="91" customWidth="1"/>
    <col min="5132" max="5132" width="14.85546875" style="91" customWidth="1"/>
    <col min="5133" max="5133" width="10.7109375" style="91" customWidth="1"/>
    <col min="5134" max="5134" width="14.5703125" style="91" bestFit="1" customWidth="1"/>
    <col min="5135" max="5135" width="14.140625" style="91" customWidth="1"/>
    <col min="5136" max="5136" width="10.28515625" style="91" customWidth="1"/>
    <col min="5137" max="5137" width="9.5703125" style="91" customWidth="1"/>
    <col min="5138" max="5138" width="5.28515625" style="91" bestFit="1" customWidth="1"/>
    <col min="5139" max="5378" width="9.140625" style="91"/>
    <col min="5379" max="5379" width="17.28515625" style="91" customWidth="1"/>
    <col min="5380" max="5380" width="57" style="91" customWidth="1"/>
    <col min="5381" max="5381" width="10" style="91" bestFit="1" customWidth="1"/>
    <col min="5382" max="5382" width="17.42578125" style="91" bestFit="1" customWidth="1"/>
    <col min="5383" max="5383" width="12.85546875" style="91" customWidth="1"/>
    <col min="5384" max="5384" width="10.85546875" style="91" customWidth="1"/>
    <col min="5385" max="5385" width="12.7109375" style="91" bestFit="1" customWidth="1"/>
    <col min="5386" max="5386" width="14.28515625" style="91" customWidth="1"/>
    <col min="5387" max="5387" width="13.42578125" style="91" customWidth="1"/>
    <col min="5388" max="5388" width="14.85546875" style="91" customWidth="1"/>
    <col min="5389" max="5389" width="10.7109375" style="91" customWidth="1"/>
    <col min="5390" max="5390" width="14.5703125" style="91" bestFit="1" customWidth="1"/>
    <col min="5391" max="5391" width="14.140625" style="91" customWidth="1"/>
    <col min="5392" max="5392" width="10.28515625" style="91" customWidth="1"/>
    <col min="5393" max="5393" width="9.5703125" style="91" customWidth="1"/>
    <col min="5394" max="5394" width="5.28515625" style="91" bestFit="1" customWidth="1"/>
    <col min="5395" max="5634" width="9.140625" style="91"/>
    <col min="5635" max="5635" width="17.28515625" style="91" customWidth="1"/>
    <col min="5636" max="5636" width="57" style="91" customWidth="1"/>
    <col min="5637" max="5637" width="10" style="91" bestFit="1" customWidth="1"/>
    <col min="5638" max="5638" width="17.42578125" style="91" bestFit="1" customWidth="1"/>
    <col min="5639" max="5639" width="12.85546875" style="91" customWidth="1"/>
    <col min="5640" max="5640" width="10.85546875" style="91" customWidth="1"/>
    <col min="5641" max="5641" width="12.7109375" style="91" bestFit="1" customWidth="1"/>
    <col min="5642" max="5642" width="14.28515625" style="91" customWidth="1"/>
    <col min="5643" max="5643" width="13.42578125" style="91" customWidth="1"/>
    <col min="5644" max="5644" width="14.85546875" style="91" customWidth="1"/>
    <col min="5645" max="5645" width="10.7109375" style="91" customWidth="1"/>
    <col min="5646" max="5646" width="14.5703125" style="91" bestFit="1" customWidth="1"/>
    <col min="5647" max="5647" width="14.140625" style="91" customWidth="1"/>
    <col min="5648" max="5648" width="10.28515625" style="91" customWidth="1"/>
    <col min="5649" max="5649" width="9.5703125" style="91" customWidth="1"/>
    <col min="5650" max="5650" width="5.28515625" style="91" bestFit="1" customWidth="1"/>
    <col min="5651" max="5890" width="9.140625" style="91"/>
    <col min="5891" max="5891" width="17.28515625" style="91" customWidth="1"/>
    <col min="5892" max="5892" width="57" style="91" customWidth="1"/>
    <col min="5893" max="5893" width="10" style="91" bestFit="1" customWidth="1"/>
    <col min="5894" max="5894" width="17.42578125" style="91" bestFit="1" customWidth="1"/>
    <col min="5895" max="5895" width="12.85546875" style="91" customWidth="1"/>
    <col min="5896" max="5896" width="10.85546875" style="91" customWidth="1"/>
    <col min="5897" max="5897" width="12.7109375" style="91" bestFit="1" customWidth="1"/>
    <col min="5898" max="5898" width="14.28515625" style="91" customWidth="1"/>
    <col min="5899" max="5899" width="13.42578125" style="91" customWidth="1"/>
    <col min="5900" max="5900" width="14.85546875" style="91" customWidth="1"/>
    <col min="5901" max="5901" width="10.7109375" style="91" customWidth="1"/>
    <col min="5902" max="5902" width="14.5703125" style="91" bestFit="1" customWidth="1"/>
    <col min="5903" max="5903" width="14.140625" style="91" customWidth="1"/>
    <col min="5904" max="5904" width="10.28515625" style="91" customWidth="1"/>
    <col min="5905" max="5905" width="9.5703125" style="91" customWidth="1"/>
    <col min="5906" max="5906" width="5.28515625" style="91" bestFit="1" customWidth="1"/>
    <col min="5907" max="6146" width="9.140625" style="91"/>
    <col min="6147" max="6147" width="17.28515625" style="91" customWidth="1"/>
    <col min="6148" max="6148" width="57" style="91" customWidth="1"/>
    <col min="6149" max="6149" width="10" style="91" bestFit="1" customWidth="1"/>
    <col min="6150" max="6150" width="17.42578125" style="91" bestFit="1" customWidth="1"/>
    <col min="6151" max="6151" width="12.85546875" style="91" customWidth="1"/>
    <col min="6152" max="6152" width="10.85546875" style="91" customWidth="1"/>
    <col min="6153" max="6153" width="12.7109375" style="91" bestFit="1" customWidth="1"/>
    <col min="6154" max="6154" width="14.28515625" style="91" customWidth="1"/>
    <col min="6155" max="6155" width="13.42578125" style="91" customWidth="1"/>
    <col min="6156" max="6156" width="14.85546875" style="91" customWidth="1"/>
    <col min="6157" max="6157" width="10.7109375" style="91" customWidth="1"/>
    <col min="6158" max="6158" width="14.5703125" style="91" bestFit="1" customWidth="1"/>
    <col min="6159" max="6159" width="14.140625" style="91" customWidth="1"/>
    <col min="6160" max="6160" width="10.28515625" style="91" customWidth="1"/>
    <col min="6161" max="6161" width="9.5703125" style="91" customWidth="1"/>
    <col min="6162" max="6162" width="5.28515625" style="91" bestFit="1" customWidth="1"/>
    <col min="6163" max="6402" width="9.140625" style="91"/>
    <col min="6403" max="6403" width="17.28515625" style="91" customWidth="1"/>
    <col min="6404" max="6404" width="57" style="91" customWidth="1"/>
    <col min="6405" max="6405" width="10" style="91" bestFit="1" customWidth="1"/>
    <col min="6406" max="6406" width="17.42578125" style="91" bestFit="1" customWidth="1"/>
    <col min="6407" max="6407" width="12.85546875" style="91" customWidth="1"/>
    <col min="6408" max="6408" width="10.85546875" style="91" customWidth="1"/>
    <col min="6409" max="6409" width="12.7109375" style="91" bestFit="1" customWidth="1"/>
    <col min="6410" max="6410" width="14.28515625" style="91" customWidth="1"/>
    <col min="6411" max="6411" width="13.42578125" style="91" customWidth="1"/>
    <col min="6412" max="6412" width="14.85546875" style="91" customWidth="1"/>
    <col min="6413" max="6413" width="10.7109375" style="91" customWidth="1"/>
    <col min="6414" max="6414" width="14.5703125" style="91" bestFit="1" customWidth="1"/>
    <col min="6415" max="6415" width="14.140625" style="91" customWidth="1"/>
    <col min="6416" max="6416" width="10.28515625" style="91" customWidth="1"/>
    <col min="6417" max="6417" width="9.5703125" style="91" customWidth="1"/>
    <col min="6418" max="6418" width="5.28515625" style="91" bestFit="1" customWidth="1"/>
    <col min="6419" max="6658" width="9.140625" style="91"/>
    <col min="6659" max="6659" width="17.28515625" style="91" customWidth="1"/>
    <col min="6660" max="6660" width="57" style="91" customWidth="1"/>
    <col min="6661" max="6661" width="10" style="91" bestFit="1" customWidth="1"/>
    <col min="6662" max="6662" width="17.42578125" style="91" bestFit="1" customWidth="1"/>
    <col min="6663" max="6663" width="12.85546875" style="91" customWidth="1"/>
    <col min="6664" max="6664" width="10.85546875" style="91" customWidth="1"/>
    <col min="6665" max="6665" width="12.7109375" style="91" bestFit="1" customWidth="1"/>
    <col min="6666" max="6666" width="14.28515625" style="91" customWidth="1"/>
    <col min="6667" max="6667" width="13.42578125" style="91" customWidth="1"/>
    <col min="6668" max="6668" width="14.85546875" style="91" customWidth="1"/>
    <col min="6669" max="6669" width="10.7109375" style="91" customWidth="1"/>
    <col min="6670" max="6670" width="14.5703125" style="91" bestFit="1" customWidth="1"/>
    <col min="6671" max="6671" width="14.140625" style="91" customWidth="1"/>
    <col min="6672" max="6672" width="10.28515625" style="91" customWidth="1"/>
    <col min="6673" max="6673" width="9.5703125" style="91" customWidth="1"/>
    <col min="6674" max="6674" width="5.28515625" style="91" bestFit="1" customWidth="1"/>
    <col min="6675" max="6914" width="9.140625" style="91"/>
    <col min="6915" max="6915" width="17.28515625" style="91" customWidth="1"/>
    <col min="6916" max="6916" width="57" style="91" customWidth="1"/>
    <col min="6917" max="6917" width="10" style="91" bestFit="1" customWidth="1"/>
    <col min="6918" max="6918" width="17.42578125" style="91" bestFit="1" customWidth="1"/>
    <col min="6919" max="6919" width="12.85546875" style="91" customWidth="1"/>
    <col min="6920" max="6920" width="10.85546875" style="91" customWidth="1"/>
    <col min="6921" max="6921" width="12.7109375" style="91" bestFit="1" customWidth="1"/>
    <col min="6922" max="6922" width="14.28515625" style="91" customWidth="1"/>
    <col min="6923" max="6923" width="13.42578125" style="91" customWidth="1"/>
    <col min="6924" max="6924" width="14.85546875" style="91" customWidth="1"/>
    <col min="6925" max="6925" width="10.7109375" style="91" customWidth="1"/>
    <col min="6926" max="6926" width="14.5703125" style="91" bestFit="1" customWidth="1"/>
    <col min="6927" max="6927" width="14.140625" style="91" customWidth="1"/>
    <col min="6928" max="6928" width="10.28515625" style="91" customWidth="1"/>
    <col min="6929" max="6929" width="9.5703125" style="91" customWidth="1"/>
    <col min="6930" max="6930" width="5.28515625" style="91" bestFit="1" customWidth="1"/>
    <col min="6931" max="7170" width="9.140625" style="91"/>
    <col min="7171" max="7171" width="17.28515625" style="91" customWidth="1"/>
    <col min="7172" max="7172" width="57" style="91" customWidth="1"/>
    <col min="7173" max="7173" width="10" style="91" bestFit="1" customWidth="1"/>
    <col min="7174" max="7174" width="17.42578125" style="91" bestFit="1" customWidth="1"/>
    <col min="7175" max="7175" width="12.85546875" style="91" customWidth="1"/>
    <col min="7176" max="7176" width="10.85546875" style="91" customWidth="1"/>
    <col min="7177" max="7177" width="12.7109375" style="91" bestFit="1" customWidth="1"/>
    <col min="7178" max="7178" width="14.28515625" style="91" customWidth="1"/>
    <col min="7179" max="7179" width="13.42578125" style="91" customWidth="1"/>
    <col min="7180" max="7180" width="14.85546875" style="91" customWidth="1"/>
    <col min="7181" max="7181" width="10.7109375" style="91" customWidth="1"/>
    <col min="7182" max="7182" width="14.5703125" style="91" bestFit="1" customWidth="1"/>
    <col min="7183" max="7183" width="14.140625" style="91" customWidth="1"/>
    <col min="7184" max="7184" width="10.28515625" style="91" customWidth="1"/>
    <col min="7185" max="7185" width="9.5703125" style="91" customWidth="1"/>
    <col min="7186" max="7186" width="5.28515625" style="91" bestFit="1" customWidth="1"/>
    <col min="7187" max="7426" width="9.140625" style="91"/>
    <col min="7427" max="7427" width="17.28515625" style="91" customWidth="1"/>
    <col min="7428" max="7428" width="57" style="91" customWidth="1"/>
    <col min="7429" max="7429" width="10" style="91" bestFit="1" customWidth="1"/>
    <col min="7430" max="7430" width="17.42578125" style="91" bestFit="1" customWidth="1"/>
    <col min="7431" max="7431" width="12.85546875" style="91" customWidth="1"/>
    <col min="7432" max="7432" width="10.85546875" style="91" customWidth="1"/>
    <col min="7433" max="7433" width="12.7109375" style="91" bestFit="1" customWidth="1"/>
    <col min="7434" max="7434" width="14.28515625" style="91" customWidth="1"/>
    <col min="7435" max="7435" width="13.42578125" style="91" customWidth="1"/>
    <col min="7436" max="7436" width="14.85546875" style="91" customWidth="1"/>
    <col min="7437" max="7437" width="10.7109375" style="91" customWidth="1"/>
    <col min="7438" max="7438" width="14.5703125" style="91" bestFit="1" customWidth="1"/>
    <col min="7439" max="7439" width="14.140625" style="91" customWidth="1"/>
    <col min="7440" max="7440" width="10.28515625" style="91" customWidth="1"/>
    <col min="7441" max="7441" width="9.5703125" style="91" customWidth="1"/>
    <col min="7442" max="7442" width="5.28515625" style="91" bestFit="1" customWidth="1"/>
    <col min="7443" max="7682" width="9.140625" style="91"/>
    <col min="7683" max="7683" width="17.28515625" style="91" customWidth="1"/>
    <col min="7684" max="7684" width="57" style="91" customWidth="1"/>
    <col min="7685" max="7685" width="10" style="91" bestFit="1" customWidth="1"/>
    <col min="7686" max="7686" width="17.42578125" style="91" bestFit="1" customWidth="1"/>
    <col min="7687" max="7687" width="12.85546875" style="91" customWidth="1"/>
    <col min="7688" max="7688" width="10.85546875" style="91" customWidth="1"/>
    <col min="7689" max="7689" width="12.7109375" style="91" bestFit="1" customWidth="1"/>
    <col min="7690" max="7690" width="14.28515625" style="91" customWidth="1"/>
    <col min="7691" max="7691" width="13.42578125" style="91" customWidth="1"/>
    <col min="7692" max="7692" width="14.85546875" style="91" customWidth="1"/>
    <col min="7693" max="7693" width="10.7109375" style="91" customWidth="1"/>
    <col min="7694" max="7694" width="14.5703125" style="91" bestFit="1" customWidth="1"/>
    <col min="7695" max="7695" width="14.140625" style="91" customWidth="1"/>
    <col min="7696" max="7696" width="10.28515625" style="91" customWidth="1"/>
    <col min="7697" max="7697" width="9.5703125" style="91" customWidth="1"/>
    <col min="7698" max="7698" width="5.28515625" style="91" bestFit="1" customWidth="1"/>
    <col min="7699" max="7938" width="9.140625" style="91"/>
    <col min="7939" max="7939" width="17.28515625" style="91" customWidth="1"/>
    <col min="7940" max="7940" width="57" style="91" customWidth="1"/>
    <col min="7941" max="7941" width="10" style="91" bestFit="1" customWidth="1"/>
    <col min="7942" max="7942" width="17.42578125" style="91" bestFit="1" customWidth="1"/>
    <col min="7943" max="7943" width="12.85546875" style="91" customWidth="1"/>
    <col min="7944" max="7944" width="10.85546875" style="91" customWidth="1"/>
    <col min="7945" max="7945" width="12.7109375" style="91" bestFit="1" customWidth="1"/>
    <col min="7946" max="7946" width="14.28515625" style="91" customWidth="1"/>
    <col min="7947" max="7947" width="13.42578125" style="91" customWidth="1"/>
    <col min="7948" max="7948" width="14.85546875" style="91" customWidth="1"/>
    <col min="7949" max="7949" width="10.7109375" style="91" customWidth="1"/>
    <col min="7950" max="7950" width="14.5703125" style="91" bestFit="1" customWidth="1"/>
    <col min="7951" max="7951" width="14.140625" style="91" customWidth="1"/>
    <col min="7952" max="7952" width="10.28515625" style="91" customWidth="1"/>
    <col min="7953" max="7953" width="9.5703125" style="91" customWidth="1"/>
    <col min="7954" max="7954" width="5.28515625" style="91" bestFit="1" customWidth="1"/>
    <col min="7955" max="8194" width="9.140625" style="91"/>
    <col min="8195" max="8195" width="17.28515625" style="91" customWidth="1"/>
    <col min="8196" max="8196" width="57" style="91" customWidth="1"/>
    <col min="8197" max="8197" width="10" style="91" bestFit="1" customWidth="1"/>
    <col min="8198" max="8198" width="17.42578125" style="91" bestFit="1" customWidth="1"/>
    <col min="8199" max="8199" width="12.85546875" style="91" customWidth="1"/>
    <col min="8200" max="8200" width="10.85546875" style="91" customWidth="1"/>
    <col min="8201" max="8201" width="12.7109375" style="91" bestFit="1" customWidth="1"/>
    <col min="8202" max="8202" width="14.28515625" style="91" customWidth="1"/>
    <col min="8203" max="8203" width="13.42578125" style="91" customWidth="1"/>
    <col min="8204" max="8204" width="14.85546875" style="91" customWidth="1"/>
    <col min="8205" max="8205" width="10.7109375" style="91" customWidth="1"/>
    <col min="8206" max="8206" width="14.5703125" style="91" bestFit="1" customWidth="1"/>
    <col min="8207" max="8207" width="14.140625" style="91" customWidth="1"/>
    <col min="8208" max="8208" width="10.28515625" style="91" customWidth="1"/>
    <col min="8209" max="8209" width="9.5703125" style="91" customWidth="1"/>
    <col min="8210" max="8210" width="5.28515625" style="91" bestFit="1" customWidth="1"/>
    <col min="8211" max="8450" width="9.140625" style="91"/>
    <col min="8451" max="8451" width="17.28515625" style="91" customWidth="1"/>
    <col min="8452" max="8452" width="57" style="91" customWidth="1"/>
    <col min="8453" max="8453" width="10" style="91" bestFit="1" customWidth="1"/>
    <col min="8454" max="8454" width="17.42578125" style="91" bestFit="1" customWidth="1"/>
    <col min="8455" max="8455" width="12.85546875" style="91" customWidth="1"/>
    <col min="8456" max="8456" width="10.85546875" style="91" customWidth="1"/>
    <col min="8457" max="8457" width="12.7109375" style="91" bestFit="1" customWidth="1"/>
    <col min="8458" max="8458" width="14.28515625" style="91" customWidth="1"/>
    <col min="8459" max="8459" width="13.42578125" style="91" customWidth="1"/>
    <col min="8460" max="8460" width="14.85546875" style="91" customWidth="1"/>
    <col min="8461" max="8461" width="10.7109375" style="91" customWidth="1"/>
    <col min="8462" max="8462" width="14.5703125" style="91" bestFit="1" customWidth="1"/>
    <col min="8463" max="8463" width="14.140625" style="91" customWidth="1"/>
    <col min="8464" max="8464" width="10.28515625" style="91" customWidth="1"/>
    <col min="8465" max="8465" width="9.5703125" style="91" customWidth="1"/>
    <col min="8466" max="8466" width="5.28515625" style="91" bestFit="1" customWidth="1"/>
    <col min="8467" max="8706" width="9.140625" style="91"/>
    <col min="8707" max="8707" width="17.28515625" style="91" customWidth="1"/>
    <col min="8708" max="8708" width="57" style="91" customWidth="1"/>
    <col min="8709" max="8709" width="10" style="91" bestFit="1" customWidth="1"/>
    <col min="8710" max="8710" width="17.42578125" style="91" bestFit="1" customWidth="1"/>
    <col min="8711" max="8711" width="12.85546875" style="91" customWidth="1"/>
    <col min="8712" max="8712" width="10.85546875" style="91" customWidth="1"/>
    <col min="8713" max="8713" width="12.7109375" style="91" bestFit="1" customWidth="1"/>
    <col min="8714" max="8714" width="14.28515625" style="91" customWidth="1"/>
    <col min="8715" max="8715" width="13.42578125" style="91" customWidth="1"/>
    <col min="8716" max="8716" width="14.85546875" style="91" customWidth="1"/>
    <col min="8717" max="8717" width="10.7109375" style="91" customWidth="1"/>
    <col min="8718" max="8718" width="14.5703125" style="91" bestFit="1" customWidth="1"/>
    <col min="8719" max="8719" width="14.140625" style="91" customWidth="1"/>
    <col min="8720" max="8720" width="10.28515625" style="91" customWidth="1"/>
    <col min="8721" max="8721" width="9.5703125" style="91" customWidth="1"/>
    <col min="8722" max="8722" width="5.28515625" style="91" bestFit="1" customWidth="1"/>
    <col min="8723" max="8962" width="9.140625" style="91"/>
    <col min="8963" max="8963" width="17.28515625" style="91" customWidth="1"/>
    <col min="8964" max="8964" width="57" style="91" customWidth="1"/>
    <col min="8965" max="8965" width="10" style="91" bestFit="1" customWidth="1"/>
    <col min="8966" max="8966" width="17.42578125" style="91" bestFit="1" customWidth="1"/>
    <col min="8967" max="8967" width="12.85546875" style="91" customWidth="1"/>
    <col min="8968" max="8968" width="10.85546875" style="91" customWidth="1"/>
    <col min="8969" max="8969" width="12.7109375" style="91" bestFit="1" customWidth="1"/>
    <col min="8970" max="8970" width="14.28515625" style="91" customWidth="1"/>
    <col min="8971" max="8971" width="13.42578125" style="91" customWidth="1"/>
    <col min="8972" max="8972" width="14.85546875" style="91" customWidth="1"/>
    <col min="8973" max="8973" width="10.7109375" style="91" customWidth="1"/>
    <col min="8974" max="8974" width="14.5703125" style="91" bestFit="1" customWidth="1"/>
    <col min="8975" max="8975" width="14.140625" style="91" customWidth="1"/>
    <col min="8976" max="8976" width="10.28515625" style="91" customWidth="1"/>
    <col min="8977" max="8977" width="9.5703125" style="91" customWidth="1"/>
    <col min="8978" max="8978" width="5.28515625" style="91" bestFit="1" customWidth="1"/>
    <col min="8979" max="9218" width="9.140625" style="91"/>
    <col min="9219" max="9219" width="17.28515625" style="91" customWidth="1"/>
    <col min="9220" max="9220" width="57" style="91" customWidth="1"/>
    <col min="9221" max="9221" width="10" style="91" bestFit="1" customWidth="1"/>
    <col min="9222" max="9222" width="17.42578125" style="91" bestFit="1" customWidth="1"/>
    <col min="9223" max="9223" width="12.85546875" style="91" customWidth="1"/>
    <col min="9224" max="9224" width="10.85546875" style="91" customWidth="1"/>
    <col min="9225" max="9225" width="12.7109375" style="91" bestFit="1" customWidth="1"/>
    <col min="9226" max="9226" width="14.28515625" style="91" customWidth="1"/>
    <col min="9227" max="9227" width="13.42578125" style="91" customWidth="1"/>
    <col min="9228" max="9228" width="14.85546875" style="91" customWidth="1"/>
    <col min="9229" max="9229" width="10.7109375" style="91" customWidth="1"/>
    <col min="9230" max="9230" width="14.5703125" style="91" bestFit="1" customWidth="1"/>
    <col min="9231" max="9231" width="14.140625" style="91" customWidth="1"/>
    <col min="9232" max="9232" width="10.28515625" style="91" customWidth="1"/>
    <col min="9233" max="9233" width="9.5703125" style="91" customWidth="1"/>
    <col min="9234" max="9234" width="5.28515625" style="91" bestFit="1" customWidth="1"/>
    <col min="9235" max="9474" width="9.140625" style="91"/>
    <col min="9475" max="9475" width="17.28515625" style="91" customWidth="1"/>
    <col min="9476" max="9476" width="57" style="91" customWidth="1"/>
    <col min="9477" max="9477" width="10" style="91" bestFit="1" customWidth="1"/>
    <col min="9478" max="9478" width="17.42578125" style="91" bestFit="1" customWidth="1"/>
    <col min="9479" max="9479" width="12.85546875" style="91" customWidth="1"/>
    <col min="9480" max="9480" width="10.85546875" style="91" customWidth="1"/>
    <col min="9481" max="9481" width="12.7109375" style="91" bestFit="1" customWidth="1"/>
    <col min="9482" max="9482" width="14.28515625" style="91" customWidth="1"/>
    <col min="9483" max="9483" width="13.42578125" style="91" customWidth="1"/>
    <col min="9484" max="9484" width="14.85546875" style="91" customWidth="1"/>
    <col min="9485" max="9485" width="10.7109375" style="91" customWidth="1"/>
    <col min="9486" max="9486" width="14.5703125" style="91" bestFit="1" customWidth="1"/>
    <col min="9487" max="9487" width="14.140625" style="91" customWidth="1"/>
    <col min="9488" max="9488" width="10.28515625" style="91" customWidth="1"/>
    <col min="9489" max="9489" width="9.5703125" style="91" customWidth="1"/>
    <col min="9490" max="9490" width="5.28515625" style="91" bestFit="1" customWidth="1"/>
    <col min="9491" max="9730" width="9.140625" style="91"/>
    <col min="9731" max="9731" width="17.28515625" style="91" customWidth="1"/>
    <col min="9732" max="9732" width="57" style="91" customWidth="1"/>
    <col min="9733" max="9733" width="10" style="91" bestFit="1" customWidth="1"/>
    <col min="9734" max="9734" width="17.42578125" style="91" bestFit="1" customWidth="1"/>
    <col min="9735" max="9735" width="12.85546875" style="91" customWidth="1"/>
    <col min="9736" max="9736" width="10.85546875" style="91" customWidth="1"/>
    <col min="9737" max="9737" width="12.7109375" style="91" bestFit="1" customWidth="1"/>
    <col min="9738" max="9738" width="14.28515625" style="91" customWidth="1"/>
    <col min="9739" max="9739" width="13.42578125" style="91" customWidth="1"/>
    <col min="9740" max="9740" width="14.85546875" style="91" customWidth="1"/>
    <col min="9741" max="9741" width="10.7109375" style="91" customWidth="1"/>
    <col min="9742" max="9742" width="14.5703125" style="91" bestFit="1" customWidth="1"/>
    <col min="9743" max="9743" width="14.140625" style="91" customWidth="1"/>
    <col min="9744" max="9744" width="10.28515625" style="91" customWidth="1"/>
    <col min="9745" max="9745" width="9.5703125" style="91" customWidth="1"/>
    <col min="9746" max="9746" width="5.28515625" style="91" bestFit="1" customWidth="1"/>
    <col min="9747" max="9986" width="9.140625" style="91"/>
    <col min="9987" max="9987" width="17.28515625" style="91" customWidth="1"/>
    <col min="9988" max="9988" width="57" style="91" customWidth="1"/>
    <col min="9989" max="9989" width="10" style="91" bestFit="1" customWidth="1"/>
    <col min="9990" max="9990" width="17.42578125" style="91" bestFit="1" customWidth="1"/>
    <col min="9991" max="9991" width="12.85546875" style="91" customWidth="1"/>
    <col min="9992" max="9992" width="10.85546875" style="91" customWidth="1"/>
    <col min="9993" max="9993" width="12.7109375" style="91" bestFit="1" customWidth="1"/>
    <col min="9994" max="9994" width="14.28515625" style="91" customWidth="1"/>
    <col min="9995" max="9995" width="13.42578125" style="91" customWidth="1"/>
    <col min="9996" max="9996" width="14.85546875" style="91" customWidth="1"/>
    <col min="9997" max="9997" width="10.7109375" style="91" customWidth="1"/>
    <col min="9998" max="9998" width="14.5703125" style="91" bestFit="1" customWidth="1"/>
    <col min="9999" max="9999" width="14.140625" style="91" customWidth="1"/>
    <col min="10000" max="10000" width="10.28515625" style="91" customWidth="1"/>
    <col min="10001" max="10001" width="9.5703125" style="91" customWidth="1"/>
    <col min="10002" max="10002" width="5.28515625" style="91" bestFit="1" customWidth="1"/>
    <col min="10003" max="10242" width="9.140625" style="91"/>
    <col min="10243" max="10243" width="17.28515625" style="91" customWidth="1"/>
    <col min="10244" max="10244" width="57" style="91" customWidth="1"/>
    <col min="10245" max="10245" width="10" style="91" bestFit="1" customWidth="1"/>
    <col min="10246" max="10246" width="17.42578125" style="91" bestFit="1" customWidth="1"/>
    <col min="10247" max="10247" width="12.85546875" style="91" customWidth="1"/>
    <col min="10248" max="10248" width="10.85546875" style="91" customWidth="1"/>
    <col min="10249" max="10249" width="12.7109375" style="91" bestFit="1" customWidth="1"/>
    <col min="10250" max="10250" width="14.28515625" style="91" customWidth="1"/>
    <col min="10251" max="10251" width="13.42578125" style="91" customWidth="1"/>
    <col min="10252" max="10252" width="14.85546875" style="91" customWidth="1"/>
    <col min="10253" max="10253" width="10.7109375" style="91" customWidth="1"/>
    <col min="10254" max="10254" width="14.5703125" style="91" bestFit="1" customWidth="1"/>
    <col min="10255" max="10255" width="14.140625" style="91" customWidth="1"/>
    <col min="10256" max="10256" width="10.28515625" style="91" customWidth="1"/>
    <col min="10257" max="10257" width="9.5703125" style="91" customWidth="1"/>
    <col min="10258" max="10258" width="5.28515625" style="91" bestFit="1" customWidth="1"/>
    <col min="10259" max="10498" width="9.140625" style="91"/>
    <col min="10499" max="10499" width="17.28515625" style="91" customWidth="1"/>
    <col min="10500" max="10500" width="57" style="91" customWidth="1"/>
    <col min="10501" max="10501" width="10" style="91" bestFit="1" customWidth="1"/>
    <col min="10502" max="10502" width="17.42578125" style="91" bestFit="1" customWidth="1"/>
    <col min="10503" max="10503" width="12.85546875" style="91" customWidth="1"/>
    <col min="10504" max="10504" width="10.85546875" style="91" customWidth="1"/>
    <col min="10505" max="10505" width="12.7109375" style="91" bestFit="1" customWidth="1"/>
    <col min="10506" max="10506" width="14.28515625" style="91" customWidth="1"/>
    <col min="10507" max="10507" width="13.42578125" style="91" customWidth="1"/>
    <col min="10508" max="10508" width="14.85546875" style="91" customWidth="1"/>
    <col min="10509" max="10509" width="10.7109375" style="91" customWidth="1"/>
    <col min="10510" max="10510" width="14.5703125" style="91" bestFit="1" customWidth="1"/>
    <col min="10511" max="10511" width="14.140625" style="91" customWidth="1"/>
    <col min="10512" max="10512" width="10.28515625" style="91" customWidth="1"/>
    <col min="10513" max="10513" width="9.5703125" style="91" customWidth="1"/>
    <col min="10514" max="10514" width="5.28515625" style="91" bestFit="1" customWidth="1"/>
    <col min="10515" max="10754" width="9.140625" style="91"/>
    <col min="10755" max="10755" width="17.28515625" style="91" customWidth="1"/>
    <col min="10756" max="10756" width="57" style="91" customWidth="1"/>
    <col min="10757" max="10757" width="10" style="91" bestFit="1" customWidth="1"/>
    <col min="10758" max="10758" width="17.42578125" style="91" bestFit="1" customWidth="1"/>
    <col min="10759" max="10759" width="12.85546875" style="91" customWidth="1"/>
    <col min="10760" max="10760" width="10.85546875" style="91" customWidth="1"/>
    <col min="10761" max="10761" width="12.7109375" style="91" bestFit="1" customWidth="1"/>
    <col min="10762" max="10762" width="14.28515625" style="91" customWidth="1"/>
    <col min="10763" max="10763" width="13.42578125" style="91" customWidth="1"/>
    <col min="10764" max="10764" width="14.85546875" style="91" customWidth="1"/>
    <col min="10765" max="10765" width="10.7109375" style="91" customWidth="1"/>
    <col min="10766" max="10766" width="14.5703125" style="91" bestFit="1" customWidth="1"/>
    <col min="10767" max="10767" width="14.140625" style="91" customWidth="1"/>
    <col min="10768" max="10768" width="10.28515625" style="91" customWidth="1"/>
    <col min="10769" max="10769" width="9.5703125" style="91" customWidth="1"/>
    <col min="10770" max="10770" width="5.28515625" style="91" bestFit="1" customWidth="1"/>
    <col min="10771" max="11010" width="9.140625" style="91"/>
    <col min="11011" max="11011" width="17.28515625" style="91" customWidth="1"/>
    <col min="11012" max="11012" width="57" style="91" customWidth="1"/>
    <col min="11013" max="11013" width="10" style="91" bestFit="1" customWidth="1"/>
    <col min="11014" max="11014" width="17.42578125" style="91" bestFit="1" customWidth="1"/>
    <col min="11015" max="11015" width="12.85546875" style="91" customWidth="1"/>
    <col min="11016" max="11016" width="10.85546875" style="91" customWidth="1"/>
    <col min="11017" max="11017" width="12.7109375" style="91" bestFit="1" customWidth="1"/>
    <col min="11018" max="11018" width="14.28515625" style="91" customWidth="1"/>
    <col min="11019" max="11019" width="13.42578125" style="91" customWidth="1"/>
    <col min="11020" max="11020" width="14.85546875" style="91" customWidth="1"/>
    <col min="11021" max="11021" width="10.7109375" style="91" customWidth="1"/>
    <col min="11022" max="11022" width="14.5703125" style="91" bestFit="1" customWidth="1"/>
    <col min="11023" max="11023" width="14.140625" style="91" customWidth="1"/>
    <col min="11024" max="11024" width="10.28515625" style="91" customWidth="1"/>
    <col min="11025" max="11025" width="9.5703125" style="91" customWidth="1"/>
    <col min="11026" max="11026" width="5.28515625" style="91" bestFit="1" customWidth="1"/>
    <col min="11027" max="11266" width="9.140625" style="91"/>
    <col min="11267" max="11267" width="17.28515625" style="91" customWidth="1"/>
    <col min="11268" max="11268" width="57" style="91" customWidth="1"/>
    <col min="11269" max="11269" width="10" style="91" bestFit="1" customWidth="1"/>
    <col min="11270" max="11270" width="17.42578125" style="91" bestFit="1" customWidth="1"/>
    <col min="11271" max="11271" width="12.85546875" style="91" customWidth="1"/>
    <col min="11272" max="11272" width="10.85546875" style="91" customWidth="1"/>
    <col min="11273" max="11273" width="12.7109375" style="91" bestFit="1" customWidth="1"/>
    <col min="11274" max="11274" width="14.28515625" style="91" customWidth="1"/>
    <col min="11275" max="11275" width="13.42578125" style="91" customWidth="1"/>
    <col min="11276" max="11276" width="14.85546875" style="91" customWidth="1"/>
    <col min="11277" max="11277" width="10.7109375" style="91" customWidth="1"/>
    <col min="11278" max="11278" width="14.5703125" style="91" bestFit="1" customWidth="1"/>
    <col min="11279" max="11279" width="14.140625" style="91" customWidth="1"/>
    <col min="11280" max="11280" width="10.28515625" style="91" customWidth="1"/>
    <col min="11281" max="11281" width="9.5703125" style="91" customWidth="1"/>
    <col min="11282" max="11282" width="5.28515625" style="91" bestFit="1" customWidth="1"/>
    <col min="11283" max="11522" width="9.140625" style="91"/>
    <col min="11523" max="11523" width="17.28515625" style="91" customWidth="1"/>
    <col min="11524" max="11524" width="57" style="91" customWidth="1"/>
    <col min="11525" max="11525" width="10" style="91" bestFit="1" customWidth="1"/>
    <col min="11526" max="11526" width="17.42578125" style="91" bestFit="1" customWidth="1"/>
    <col min="11527" max="11527" width="12.85546875" style="91" customWidth="1"/>
    <col min="11528" max="11528" width="10.85546875" style="91" customWidth="1"/>
    <col min="11529" max="11529" width="12.7109375" style="91" bestFit="1" customWidth="1"/>
    <col min="11530" max="11530" width="14.28515625" style="91" customWidth="1"/>
    <col min="11531" max="11531" width="13.42578125" style="91" customWidth="1"/>
    <col min="11532" max="11532" width="14.85546875" style="91" customWidth="1"/>
    <col min="11533" max="11533" width="10.7109375" style="91" customWidth="1"/>
    <col min="11534" max="11534" width="14.5703125" style="91" bestFit="1" customWidth="1"/>
    <col min="11535" max="11535" width="14.140625" style="91" customWidth="1"/>
    <col min="11536" max="11536" width="10.28515625" style="91" customWidth="1"/>
    <col min="11537" max="11537" width="9.5703125" style="91" customWidth="1"/>
    <col min="11538" max="11538" width="5.28515625" style="91" bestFit="1" customWidth="1"/>
    <col min="11539" max="11778" width="9.140625" style="91"/>
    <col min="11779" max="11779" width="17.28515625" style="91" customWidth="1"/>
    <col min="11780" max="11780" width="57" style="91" customWidth="1"/>
    <col min="11781" max="11781" width="10" style="91" bestFit="1" customWidth="1"/>
    <col min="11782" max="11782" width="17.42578125" style="91" bestFit="1" customWidth="1"/>
    <col min="11783" max="11783" width="12.85546875" style="91" customWidth="1"/>
    <col min="11784" max="11784" width="10.85546875" style="91" customWidth="1"/>
    <col min="11785" max="11785" width="12.7109375" style="91" bestFit="1" customWidth="1"/>
    <col min="11786" max="11786" width="14.28515625" style="91" customWidth="1"/>
    <col min="11787" max="11787" width="13.42578125" style="91" customWidth="1"/>
    <col min="11788" max="11788" width="14.85546875" style="91" customWidth="1"/>
    <col min="11789" max="11789" width="10.7109375" style="91" customWidth="1"/>
    <col min="11790" max="11790" width="14.5703125" style="91" bestFit="1" customWidth="1"/>
    <col min="11791" max="11791" width="14.140625" style="91" customWidth="1"/>
    <col min="11792" max="11792" width="10.28515625" style="91" customWidth="1"/>
    <col min="11793" max="11793" width="9.5703125" style="91" customWidth="1"/>
    <col min="11794" max="11794" width="5.28515625" style="91" bestFit="1" customWidth="1"/>
    <col min="11795" max="12034" width="9.140625" style="91"/>
    <col min="12035" max="12035" width="17.28515625" style="91" customWidth="1"/>
    <col min="12036" max="12036" width="57" style="91" customWidth="1"/>
    <col min="12037" max="12037" width="10" style="91" bestFit="1" customWidth="1"/>
    <col min="12038" max="12038" width="17.42578125" style="91" bestFit="1" customWidth="1"/>
    <col min="12039" max="12039" width="12.85546875" style="91" customWidth="1"/>
    <col min="12040" max="12040" width="10.85546875" style="91" customWidth="1"/>
    <col min="12041" max="12041" width="12.7109375" style="91" bestFit="1" customWidth="1"/>
    <col min="12042" max="12042" width="14.28515625" style="91" customWidth="1"/>
    <col min="12043" max="12043" width="13.42578125" style="91" customWidth="1"/>
    <col min="12044" max="12044" width="14.85546875" style="91" customWidth="1"/>
    <col min="12045" max="12045" width="10.7109375" style="91" customWidth="1"/>
    <col min="12046" max="12046" width="14.5703125" style="91" bestFit="1" customWidth="1"/>
    <col min="12047" max="12047" width="14.140625" style="91" customWidth="1"/>
    <col min="12048" max="12048" width="10.28515625" style="91" customWidth="1"/>
    <col min="12049" max="12049" width="9.5703125" style="91" customWidth="1"/>
    <col min="12050" max="12050" width="5.28515625" style="91" bestFit="1" customWidth="1"/>
    <col min="12051" max="12290" width="9.140625" style="91"/>
    <col min="12291" max="12291" width="17.28515625" style="91" customWidth="1"/>
    <col min="12292" max="12292" width="57" style="91" customWidth="1"/>
    <col min="12293" max="12293" width="10" style="91" bestFit="1" customWidth="1"/>
    <col min="12294" max="12294" width="17.42578125" style="91" bestFit="1" customWidth="1"/>
    <col min="12295" max="12295" width="12.85546875" style="91" customWidth="1"/>
    <col min="12296" max="12296" width="10.85546875" style="91" customWidth="1"/>
    <col min="12297" max="12297" width="12.7109375" style="91" bestFit="1" customWidth="1"/>
    <col min="12298" max="12298" width="14.28515625" style="91" customWidth="1"/>
    <col min="12299" max="12299" width="13.42578125" style="91" customWidth="1"/>
    <col min="12300" max="12300" width="14.85546875" style="91" customWidth="1"/>
    <col min="12301" max="12301" width="10.7109375" style="91" customWidth="1"/>
    <col min="12302" max="12302" width="14.5703125" style="91" bestFit="1" customWidth="1"/>
    <col min="12303" max="12303" width="14.140625" style="91" customWidth="1"/>
    <col min="12304" max="12304" width="10.28515625" style="91" customWidth="1"/>
    <col min="12305" max="12305" width="9.5703125" style="91" customWidth="1"/>
    <col min="12306" max="12306" width="5.28515625" style="91" bestFit="1" customWidth="1"/>
    <col min="12307" max="12546" width="9.140625" style="91"/>
    <col min="12547" max="12547" width="17.28515625" style="91" customWidth="1"/>
    <col min="12548" max="12548" width="57" style="91" customWidth="1"/>
    <col min="12549" max="12549" width="10" style="91" bestFit="1" customWidth="1"/>
    <col min="12550" max="12550" width="17.42578125" style="91" bestFit="1" customWidth="1"/>
    <col min="12551" max="12551" width="12.85546875" style="91" customWidth="1"/>
    <col min="12552" max="12552" width="10.85546875" style="91" customWidth="1"/>
    <col min="12553" max="12553" width="12.7109375" style="91" bestFit="1" customWidth="1"/>
    <col min="12554" max="12554" width="14.28515625" style="91" customWidth="1"/>
    <col min="12555" max="12555" width="13.42578125" style="91" customWidth="1"/>
    <col min="12556" max="12556" width="14.85546875" style="91" customWidth="1"/>
    <col min="12557" max="12557" width="10.7109375" style="91" customWidth="1"/>
    <col min="12558" max="12558" width="14.5703125" style="91" bestFit="1" customWidth="1"/>
    <col min="12559" max="12559" width="14.140625" style="91" customWidth="1"/>
    <col min="12560" max="12560" width="10.28515625" style="91" customWidth="1"/>
    <col min="12561" max="12561" width="9.5703125" style="91" customWidth="1"/>
    <col min="12562" max="12562" width="5.28515625" style="91" bestFit="1" customWidth="1"/>
    <col min="12563" max="12802" width="9.140625" style="91"/>
    <col min="12803" max="12803" width="17.28515625" style="91" customWidth="1"/>
    <col min="12804" max="12804" width="57" style="91" customWidth="1"/>
    <col min="12805" max="12805" width="10" style="91" bestFit="1" customWidth="1"/>
    <col min="12806" max="12806" width="17.42578125" style="91" bestFit="1" customWidth="1"/>
    <col min="12807" max="12807" width="12.85546875" style="91" customWidth="1"/>
    <col min="12808" max="12808" width="10.85546875" style="91" customWidth="1"/>
    <col min="12809" max="12809" width="12.7109375" style="91" bestFit="1" customWidth="1"/>
    <col min="12810" max="12810" width="14.28515625" style="91" customWidth="1"/>
    <col min="12811" max="12811" width="13.42578125" style="91" customWidth="1"/>
    <col min="12812" max="12812" width="14.85546875" style="91" customWidth="1"/>
    <col min="12813" max="12813" width="10.7109375" style="91" customWidth="1"/>
    <col min="12814" max="12814" width="14.5703125" style="91" bestFit="1" customWidth="1"/>
    <col min="12815" max="12815" width="14.140625" style="91" customWidth="1"/>
    <col min="12816" max="12816" width="10.28515625" style="91" customWidth="1"/>
    <col min="12817" max="12817" width="9.5703125" style="91" customWidth="1"/>
    <col min="12818" max="12818" width="5.28515625" style="91" bestFit="1" customWidth="1"/>
    <col min="12819" max="13058" width="9.140625" style="91"/>
    <col min="13059" max="13059" width="17.28515625" style="91" customWidth="1"/>
    <col min="13060" max="13060" width="57" style="91" customWidth="1"/>
    <col min="13061" max="13061" width="10" style="91" bestFit="1" customWidth="1"/>
    <col min="13062" max="13062" width="17.42578125" style="91" bestFit="1" customWidth="1"/>
    <col min="13063" max="13063" width="12.85546875" style="91" customWidth="1"/>
    <col min="13064" max="13064" width="10.85546875" style="91" customWidth="1"/>
    <col min="13065" max="13065" width="12.7109375" style="91" bestFit="1" customWidth="1"/>
    <col min="13066" max="13066" width="14.28515625" style="91" customWidth="1"/>
    <col min="13067" max="13067" width="13.42578125" style="91" customWidth="1"/>
    <col min="13068" max="13068" width="14.85546875" style="91" customWidth="1"/>
    <col min="13069" max="13069" width="10.7109375" style="91" customWidth="1"/>
    <col min="13070" max="13070" width="14.5703125" style="91" bestFit="1" customWidth="1"/>
    <col min="13071" max="13071" width="14.140625" style="91" customWidth="1"/>
    <col min="13072" max="13072" width="10.28515625" style="91" customWidth="1"/>
    <col min="13073" max="13073" width="9.5703125" style="91" customWidth="1"/>
    <col min="13074" max="13074" width="5.28515625" style="91" bestFit="1" customWidth="1"/>
    <col min="13075" max="13314" width="9.140625" style="91"/>
    <col min="13315" max="13315" width="17.28515625" style="91" customWidth="1"/>
    <col min="13316" max="13316" width="57" style="91" customWidth="1"/>
    <col min="13317" max="13317" width="10" style="91" bestFit="1" customWidth="1"/>
    <col min="13318" max="13318" width="17.42578125" style="91" bestFit="1" customWidth="1"/>
    <col min="13319" max="13319" width="12.85546875" style="91" customWidth="1"/>
    <col min="13320" max="13320" width="10.85546875" style="91" customWidth="1"/>
    <col min="13321" max="13321" width="12.7109375" style="91" bestFit="1" customWidth="1"/>
    <col min="13322" max="13322" width="14.28515625" style="91" customWidth="1"/>
    <col min="13323" max="13323" width="13.42578125" style="91" customWidth="1"/>
    <col min="13324" max="13324" width="14.85546875" style="91" customWidth="1"/>
    <col min="13325" max="13325" width="10.7109375" style="91" customWidth="1"/>
    <col min="13326" max="13326" width="14.5703125" style="91" bestFit="1" customWidth="1"/>
    <col min="13327" max="13327" width="14.140625" style="91" customWidth="1"/>
    <col min="13328" max="13328" width="10.28515625" style="91" customWidth="1"/>
    <col min="13329" max="13329" width="9.5703125" style="91" customWidth="1"/>
    <col min="13330" max="13330" width="5.28515625" style="91" bestFit="1" customWidth="1"/>
    <col min="13331" max="13570" width="9.140625" style="91"/>
    <col min="13571" max="13571" width="17.28515625" style="91" customWidth="1"/>
    <col min="13572" max="13572" width="57" style="91" customWidth="1"/>
    <col min="13573" max="13573" width="10" style="91" bestFit="1" customWidth="1"/>
    <col min="13574" max="13574" width="17.42578125" style="91" bestFit="1" customWidth="1"/>
    <col min="13575" max="13575" width="12.85546875" style="91" customWidth="1"/>
    <col min="13576" max="13576" width="10.85546875" style="91" customWidth="1"/>
    <col min="13577" max="13577" width="12.7109375" style="91" bestFit="1" customWidth="1"/>
    <col min="13578" max="13578" width="14.28515625" style="91" customWidth="1"/>
    <col min="13579" max="13579" width="13.42578125" style="91" customWidth="1"/>
    <col min="13580" max="13580" width="14.85546875" style="91" customWidth="1"/>
    <col min="13581" max="13581" width="10.7109375" style="91" customWidth="1"/>
    <col min="13582" max="13582" width="14.5703125" style="91" bestFit="1" customWidth="1"/>
    <col min="13583" max="13583" width="14.140625" style="91" customWidth="1"/>
    <col min="13584" max="13584" width="10.28515625" style="91" customWidth="1"/>
    <col min="13585" max="13585" width="9.5703125" style="91" customWidth="1"/>
    <col min="13586" max="13586" width="5.28515625" style="91" bestFit="1" customWidth="1"/>
    <col min="13587" max="13826" width="9.140625" style="91"/>
    <col min="13827" max="13827" width="17.28515625" style="91" customWidth="1"/>
    <col min="13828" max="13828" width="57" style="91" customWidth="1"/>
    <col min="13829" max="13829" width="10" style="91" bestFit="1" customWidth="1"/>
    <col min="13830" max="13830" width="17.42578125" style="91" bestFit="1" customWidth="1"/>
    <col min="13831" max="13831" width="12.85546875" style="91" customWidth="1"/>
    <col min="13832" max="13832" width="10.85546875" style="91" customWidth="1"/>
    <col min="13833" max="13833" width="12.7109375" style="91" bestFit="1" customWidth="1"/>
    <col min="13834" max="13834" width="14.28515625" style="91" customWidth="1"/>
    <col min="13835" max="13835" width="13.42578125" style="91" customWidth="1"/>
    <col min="13836" max="13836" width="14.85546875" style="91" customWidth="1"/>
    <col min="13837" max="13837" width="10.7109375" style="91" customWidth="1"/>
    <col min="13838" max="13838" width="14.5703125" style="91" bestFit="1" customWidth="1"/>
    <col min="13839" max="13839" width="14.140625" style="91" customWidth="1"/>
    <col min="13840" max="13840" width="10.28515625" style="91" customWidth="1"/>
    <col min="13841" max="13841" width="9.5703125" style="91" customWidth="1"/>
    <col min="13842" max="13842" width="5.28515625" style="91" bestFit="1" customWidth="1"/>
    <col min="13843" max="14082" width="9.140625" style="91"/>
    <col min="14083" max="14083" width="17.28515625" style="91" customWidth="1"/>
    <col min="14084" max="14084" width="57" style="91" customWidth="1"/>
    <col min="14085" max="14085" width="10" style="91" bestFit="1" customWidth="1"/>
    <col min="14086" max="14086" width="17.42578125" style="91" bestFit="1" customWidth="1"/>
    <col min="14087" max="14087" width="12.85546875" style="91" customWidth="1"/>
    <col min="14088" max="14088" width="10.85546875" style="91" customWidth="1"/>
    <col min="14089" max="14089" width="12.7109375" style="91" bestFit="1" customWidth="1"/>
    <col min="14090" max="14090" width="14.28515625" style="91" customWidth="1"/>
    <col min="14091" max="14091" width="13.42578125" style="91" customWidth="1"/>
    <col min="14092" max="14092" width="14.85546875" style="91" customWidth="1"/>
    <col min="14093" max="14093" width="10.7109375" style="91" customWidth="1"/>
    <col min="14094" max="14094" width="14.5703125" style="91" bestFit="1" customWidth="1"/>
    <col min="14095" max="14095" width="14.140625" style="91" customWidth="1"/>
    <col min="14096" max="14096" width="10.28515625" style="91" customWidth="1"/>
    <col min="14097" max="14097" width="9.5703125" style="91" customWidth="1"/>
    <col min="14098" max="14098" width="5.28515625" style="91" bestFit="1" customWidth="1"/>
    <col min="14099" max="14338" width="9.140625" style="91"/>
    <col min="14339" max="14339" width="17.28515625" style="91" customWidth="1"/>
    <col min="14340" max="14340" width="57" style="91" customWidth="1"/>
    <col min="14341" max="14341" width="10" style="91" bestFit="1" customWidth="1"/>
    <col min="14342" max="14342" width="17.42578125" style="91" bestFit="1" customWidth="1"/>
    <col min="14343" max="14343" width="12.85546875" style="91" customWidth="1"/>
    <col min="14344" max="14344" width="10.85546875" style="91" customWidth="1"/>
    <col min="14345" max="14345" width="12.7109375" style="91" bestFit="1" customWidth="1"/>
    <col min="14346" max="14346" width="14.28515625" style="91" customWidth="1"/>
    <col min="14347" max="14347" width="13.42578125" style="91" customWidth="1"/>
    <col min="14348" max="14348" width="14.85546875" style="91" customWidth="1"/>
    <col min="14349" max="14349" width="10.7109375" style="91" customWidth="1"/>
    <col min="14350" max="14350" width="14.5703125" style="91" bestFit="1" customWidth="1"/>
    <col min="14351" max="14351" width="14.140625" style="91" customWidth="1"/>
    <col min="14352" max="14352" width="10.28515625" style="91" customWidth="1"/>
    <col min="14353" max="14353" width="9.5703125" style="91" customWidth="1"/>
    <col min="14354" max="14354" width="5.28515625" style="91" bestFit="1" customWidth="1"/>
    <col min="14355" max="14594" width="9.140625" style="91"/>
    <col min="14595" max="14595" width="17.28515625" style="91" customWidth="1"/>
    <col min="14596" max="14596" width="57" style="91" customWidth="1"/>
    <col min="14597" max="14597" width="10" style="91" bestFit="1" customWidth="1"/>
    <col min="14598" max="14598" width="17.42578125" style="91" bestFit="1" customWidth="1"/>
    <col min="14599" max="14599" width="12.85546875" style="91" customWidth="1"/>
    <col min="14600" max="14600" width="10.85546875" style="91" customWidth="1"/>
    <col min="14601" max="14601" width="12.7109375" style="91" bestFit="1" customWidth="1"/>
    <col min="14602" max="14602" width="14.28515625" style="91" customWidth="1"/>
    <col min="14603" max="14603" width="13.42578125" style="91" customWidth="1"/>
    <col min="14604" max="14604" width="14.85546875" style="91" customWidth="1"/>
    <col min="14605" max="14605" width="10.7109375" style="91" customWidth="1"/>
    <col min="14606" max="14606" width="14.5703125" style="91" bestFit="1" customWidth="1"/>
    <col min="14607" max="14607" width="14.140625" style="91" customWidth="1"/>
    <col min="14608" max="14608" width="10.28515625" style="91" customWidth="1"/>
    <col min="14609" max="14609" width="9.5703125" style="91" customWidth="1"/>
    <col min="14610" max="14610" width="5.28515625" style="91" bestFit="1" customWidth="1"/>
    <col min="14611" max="14850" width="9.140625" style="91"/>
    <col min="14851" max="14851" width="17.28515625" style="91" customWidth="1"/>
    <col min="14852" max="14852" width="57" style="91" customWidth="1"/>
    <col min="14853" max="14853" width="10" style="91" bestFit="1" customWidth="1"/>
    <col min="14854" max="14854" width="17.42578125" style="91" bestFit="1" customWidth="1"/>
    <col min="14855" max="14855" width="12.85546875" style="91" customWidth="1"/>
    <col min="14856" max="14856" width="10.85546875" style="91" customWidth="1"/>
    <col min="14857" max="14857" width="12.7109375" style="91" bestFit="1" customWidth="1"/>
    <col min="14858" max="14858" width="14.28515625" style="91" customWidth="1"/>
    <col min="14859" max="14859" width="13.42578125" style="91" customWidth="1"/>
    <col min="14860" max="14860" width="14.85546875" style="91" customWidth="1"/>
    <col min="14861" max="14861" width="10.7109375" style="91" customWidth="1"/>
    <col min="14862" max="14862" width="14.5703125" style="91" bestFit="1" customWidth="1"/>
    <col min="14863" max="14863" width="14.140625" style="91" customWidth="1"/>
    <col min="14864" max="14864" width="10.28515625" style="91" customWidth="1"/>
    <col min="14865" max="14865" width="9.5703125" style="91" customWidth="1"/>
    <col min="14866" max="14866" width="5.28515625" style="91" bestFit="1" customWidth="1"/>
    <col min="14867" max="15106" width="9.140625" style="91"/>
    <col min="15107" max="15107" width="17.28515625" style="91" customWidth="1"/>
    <col min="15108" max="15108" width="57" style="91" customWidth="1"/>
    <col min="15109" max="15109" width="10" style="91" bestFit="1" customWidth="1"/>
    <col min="15110" max="15110" width="17.42578125" style="91" bestFit="1" customWidth="1"/>
    <col min="15111" max="15111" width="12.85546875" style="91" customWidth="1"/>
    <col min="15112" max="15112" width="10.85546875" style="91" customWidth="1"/>
    <col min="15113" max="15113" width="12.7109375" style="91" bestFit="1" customWidth="1"/>
    <col min="15114" max="15114" width="14.28515625" style="91" customWidth="1"/>
    <col min="15115" max="15115" width="13.42578125" style="91" customWidth="1"/>
    <col min="15116" max="15116" width="14.85546875" style="91" customWidth="1"/>
    <col min="15117" max="15117" width="10.7109375" style="91" customWidth="1"/>
    <col min="15118" max="15118" width="14.5703125" style="91" bestFit="1" customWidth="1"/>
    <col min="15119" max="15119" width="14.140625" style="91" customWidth="1"/>
    <col min="15120" max="15120" width="10.28515625" style="91" customWidth="1"/>
    <col min="15121" max="15121" width="9.5703125" style="91" customWidth="1"/>
    <col min="15122" max="15122" width="5.28515625" style="91" bestFit="1" customWidth="1"/>
    <col min="15123" max="15362" width="9.140625" style="91"/>
    <col min="15363" max="15363" width="17.28515625" style="91" customWidth="1"/>
    <col min="15364" max="15364" width="57" style="91" customWidth="1"/>
    <col min="15365" max="15365" width="10" style="91" bestFit="1" customWidth="1"/>
    <col min="15366" max="15366" width="17.42578125" style="91" bestFit="1" customWidth="1"/>
    <col min="15367" max="15367" width="12.85546875" style="91" customWidth="1"/>
    <col min="15368" max="15368" width="10.85546875" style="91" customWidth="1"/>
    <col min="15369" max="15369" width="12.7109375" style="91" bestFit="1" customWidth="1"/>
    <col min="15370" max="15370" width="14.28515625" style="91" customWidth="1"/>
    <col min="15371" max="15371" width="13.42578125" style="91" customWidth="1"/>
    <col min="15372" max="15372" width="14.85546875" style="91" customWidth="1"/>
    <col min="15373" max="15373" width="10.7109375" style="91" customWidth="1"/>
    <col min="15374" max="15374" width="14.5703125" style="91" bestFit="1" customWidth="1"/>
    <col min="15375" max="15375" width="14.140625" style="91" customWidth="1"/>
    <col min="15376" max="15376" width="10.28515625" style="91" customWidth="1"/>
    <col min="15377" max="15377" width="9.5703125" style="91" customWidth="1"/>
    <col min="15378" max="15378" width="5.28515625" style="91" bestFit="1" customWidth="1"/>
    <col min="15379" max="15618" width="9.140625" style="91"/>
    <col min="15619" max="15619" width="17.28515625" style="91" customWidth="1"/>
    <col min="15620" max="15620" width="57" style="91" customWidth="1"/>
    <col min="15621" max="15621" width="10" style="91" bestFit="1" customWidth="1"/>
    <col min="15622" max="15622" width="17.42578125" style="91" bestFit="1" customWidth="1"/>
    <col min="15623" max="15623" width="12.85546875" style="91" customWidth="1"/>
    <col min="15624" max="15624" width="10.85546875" style="91" customWidth="1"/>
    <col min="15625" max="15625" width="12.7109375" style="91" bestFit="1" customWidth="1"/>
    <col min="15626" max="15626" width="14.28515625" style="91" customWidth="1"/>
    <col min="15627" max="15627" width="13.42578125" style="91" customWidth="1"/>
    <col min="15628" max="15628" width="14.85546875" style="91" customWidth="1"/>
    <col min="15629" max="15629" width="10.7109375" style="91" customWidth="1"/>
    <col min="15630" max="15630" width="14.5703125" style="91" bestFit="1" customWidth="1"/>
    <col min="15631" max="15631" width="14.140625" style="91" customWidth="1"/>
    <col min="15632" max="15632" width="10.28515625" style="91" customWidth="1"/>
    <col min="15633" max="15633" width="9.5703125" style="91" customWidth="1"/>
    <col min="15634" max="15634" width="5.28515625" style="91" bestFit="1" customWidth="1"/>
    <col min="15635" max="15874" width="9.140625" style="91"/>
    <col min="15875" max="15875" width="17.28515625" style="91" customWidth="1"/>
    <col min="15876" max="15876" width="57" style="91" customWidth="1"/>
    <col min="15877" max="15877" width="10" style="91" bestFit="1" customWidth="1"/>
    <col min="15878" max="15878" width="17.42578125" style="91" bestFit="1" customWidth="1"/>
    <col min="15879" max="15879" width="12.85546875" style="91" customWidth="1"/>
    <col min="15880" max="15880" width="10.85546875" style="91" customWidth="1"/>
    <col min="15881" max="15881" width="12.7109375" style="91" bestFit="1" customWidth="1"/>
    <col min="15882" max="15882" width="14.28515625" style="91" customWidth="1"/>
    <col min="15883" max="15883" width="13.42578125" style="91" customWidth="1"/>
    <col min="15884" max="15884" width="14.85546875" style="91" customWidth="1"/>
    <col min="15885" max="15885" width="10.7109375" style="91" customWidth="1"/>
    <col min="15886" max="15886" width="14.5703125" style="91" bestFit="1" customWidth="1"/>
    <col min="15887" max="15887" width="14.140625" style="91" customWidth="1"/>
    <col min="15888" max="15888" width="10.28515625" style="91" customWidth="1"/>
    <col min="15889" max="15889" width="9.5703125" style="91" customWidth="1"/>
    <col min="15890" max="15890" width="5.28515625" style="91" bestFit="1" customWidth="1"/>
    <col min="15891" max="16130" width="9.140625" style="91"/>
    <col min="16131" max="16131" width="17.28515625" style="91" customWidth="1"/>
    <col min="16132" max="16132" width="57" style="91" customWidth="1"/>
    <col min="16133" max="16133" width="10" style="91" bestFit="1" customWidth="1"/>
    <col min="16134" max="16134" width="17.42578125" style="91" bestFit="1" customWidth="1"/>
    <col min="16135" max="16135" width="12.85546875" style="91" customWidth="1"/>
    <col min="16136" max="16136" width="10.85546875" style="91" customWidth="1"/>
    <col min="16137" max="16137" width="12.7109375" style="91" bestFit="1" customWidth="1"/>
    <col min="16138" max="16138" width="14.28515625" style="91" customWidth="1"/>
    <col min="16139" max="16139" width="13.42578125" style="91" customWidth="1"/>
    <col min="16140" max="16140" width="14.85546875" style="91" customWidth="1"/>
    <col min="16141" max="16141" width="10.7109375" style="91" customWidth="1"/>
    <col min="16142" max="16142" width="14.5703125" style="91" bestFit="1" customWidth="1"/>
    <col min="16143" max="16143" width="14.140625" style="91" customWidth="1"/>
    <col min="16144" max="16144" width="10.28515625" style="91" customWidth="1"/>
    <col min="16145" max="16145" width="9.5703125" style="91" customWidth="1"/>
    <col min="16146" max="16146" width="5.28515625" style="91" bestFit="1" customWidth="1"/>
    <col min="16147" max="16384" width="9.140625" style="91"/>
  </cols>
  <sheetData>
    <row r="1" spans="1:18" s="11" customFormat="1" ht="37.5" customHeight="1" thickBot="1" x14ac:dyDescent="0.3">
      <c r="A1" s="83" t="s">
        <v>40</v>
      </c>
      <c r="B1" s="83" t="s">
        <v>41</v>
      </c>
      <c r="C1" s="83" t="s">
        <v>42</v>
      </c>
      <c r="D1" s="84" t="s">
        <v>43</v>
      </c>
      <c r="E1" s="85" t="s">
        <v>489</v>
      </c>
      <c r="F1" s="83" t="s">
        <v>477</v>
      </c>
      <c r="G1" s="83" t="s">
        <v>29</v>
      </c>
      <c r="H1" s="83" t="s">
        <v>478</v>
      </c>
      <c r="I1" s="83" t="s">
        <v>388</v>
      </c>
      <c r="J1" s="309" t="s">
        <v>44</v>
      </c>
      <c r="K1" s="309" t="s">
        <v>45</v>
      </c>
      <c r="L1" s="83" t="s">
        <v>46</v>
      </c>
      <c r="M1" s="83" t="s">
        <v>386</v>
      </c>
      <c r="N1" s="83" t="s">
        <v>47</v>
      </c>
      <c r="O1" s="83" t="s">
        <v>48</v>
      </c>
      <c r="P1" s="83" t="s">
        <v>49</v>
      </c>
      <c r="Q1" s="83" t="s">
        <v>479</v>
      </c>
      <c r="R1" s="83" t="s">
        <v>50</v>
      </c>
    </row>
    <row r="2" spans="1:18" ht="18" customHeight="1" x14ac:dyDescent="0.25">
      <c r="A2" s="167" t="s">
        <v>51</v>
      </c>
      <c r="B2" s="86" t="s">
        <v>52</v>
      </c>
      <c r="C2" s="87" t="s">
        <v>53</v>
      </c>
      <c r="D2" s="88" t="str" cm="1">
        <f t="array" aca="1" ref="D2" ca="1">_xlfn.LET(_xlpm.filepath,CELL("filename",D2),MID(_xlpm.filepath,FIND("]",_xlpm.filepath)+1,3))</f>
        <v>005</v>
      </c>
      <c r="E2" s="88">
        <v>1</v>
      </c>
      <c r="F2" s="89" t="str">
        <f>"S"&amp;E2&amp;"+"</f>
        <v>S1+</v>
      </c>
      <c r="G2" s="88" t="s">
        <v>54</v>
      </c>
      <c r="H2" s="88" t="s">
        <v>55</v>
      </c>
      <c r="I2" s="209" t="str">
        <f>TEXT(E2,"00")&amp;"a"</f>
        <v>01a</v>
      </c>
      <c r="J2" s="88" t="s">
        <v>56</v>
      </c>
      <c r="K2" s="88" t="s">
        <v>51</v>
      </c>
      <c r="L2" s="211"/>
      <c r="M2" s="79" t="s">
        <v>490</v>
      </c>
      <c r="N2" s="211"/>
      <c r="O2" s="211"/>
      <c r="P2" s="211"/>
      <c r="Q2" s="222" t="s">
        <v>630</v>
      </c>
      <c r="R2" s="69">
        <v>0</v>
      </c>
    </row>
    <row r="3" spans="1:18" ht="18" customHeight="1" x14ac:dyDescent="0.25">
      <c r="A3" s="198"/>
      <c r="B3" s="93"/>
      <c r="C3" s="94"/>
      <c r="D3" s="95"/>
      <c r="E3" s="95"/>
      <c r="F3" s="115" t="str">
        <f>"AI"&amp;E2&amp;"+"</f>
        <v>AI1+</v>
      </c>
      <c r="G3" s="95"/>
      <c r="H3" s="95"/>
      <c r="I3" s="209" t="str">
        <f>TEXT(E2,"00")&amp;"b"</f>
        <v>01b</v>
      </c>
      <c r="J3" s="95"/>
      <c r="K3" s="95"/>
      <c r="L3" s="209" t="s">
        <v>482</v>
      </c>
      <c r="M3" s="99"/>
      <c r="N3" s="209" t="str">
        <f ca="1">D2&amp;"/"&amp;F3</f>
        <v>005/AI1+</v>
      </c>
      <c r="O3" s="209" t="s">
        <v>481</v>
      </c>
      <c r="P3" s="209">
        <v>3</v>
      </c>
      <c r="Q3" s="97"/>
      <c r="R3" s="98"/>
    </row>
    <row r="4" spans="1:18" ht="18" customHeight="1" x14ac:dyDescent="0.25">
      <c r="A4" s="198"/>
      <c r="B4" s="93"/>
      <c r="C4" s="94"/>
      <c r="D4" s="95"/>
      <c r="E4" s="95"/>
      <c r="F4" s="115" t="str">
        <f>"AI"&amp;E2&amp;"-"</f>
        <v>AI1-</v>
      </c>
      <c r="G4" s="95"/>
      <c r="H4" s="95"/>
      <c r="I4" s="115" t="str">
        <f>TEXT(E2,"00")&amp;"c"</f>
        <v>01c</v>
      </c>
      <c r="J4" s="95"/>
      <c r="K4" s="95"/>
      <c r="L4" s="115"/>
      <c r="M4" s="99"/>
      <c r="N4" s="115"/>
      <c r="O4" s="115"/>
      <c r="P4" s="115"/>
      <c r="Q4" s="97"/>
      <c r="R4" s="67"/>
    </row>
    <row r="5" spans="1:18" ht="18" customHeight="1" x14ac:dyDescent="0.25">
      <c r="A5" s="198"/>
      <c r="B5" s="93"/>
      <c r="C5" s="94"/>
      <c r="D5" s="95"/>
      <c r="E5" s="95"/>
      <c r="F5" s="225" t="s">
        <v>629</v>
      </c>
      <c r="G5" s="95"/>
      <c r="H5" s="95"/>
      <c r="I5" s="99"/>
      <c r="J5" s="95"/>
      <c r="K5" s="95"/>
      <c r="L5" s="209" t="s">
        <v>480</v>
      </c>
      <c r="M5" s="99"/>
      <c r="N5" s="225" t="s">
        <v>629</v>
      </c>
      <c r="O5" s="209" t="s">
        <v>481</v>
      </c>
      <c r="P5" s="209">
        <v>1</v>
      </c>
      <c r="Q5" s="97"/>
      <c r="R5" s="67"/>
    </row>
    <row r="6" spans="1:18" ht="18" customHeight="1" thickBot="1" x14ac:dyDescent="0.3">
      <c r="A6" s="198"/>
      <c r="B6" s="93"/>
      <c r="C6" s="94"/>
      <c r="D6" s="95"/>
      <c r="E6" s="95"/>
      <c r="F6" s="226" t="s">
        <v>628</v>
      </c>
      <c r="G6" s="95"/>
      <c r="H6" s="95"/>
      <c r="I6" s="99"/>
      <c r="J6" s="95"/>
      <c r="K6" s="95"/>
      <c r="L6" s="210" t="s">
        <v>483</v>
      </c>
      <c r="M6" s="99"/>
      <c r="N6" s="226" t="s">
        <v>628</v>
      </c>
      <c r="O6" s="231" t="s">
        <v>481</v>
      </c>
      <c r="P6" s="231">
        <v>4</v>
      </c>
      <c r="Q6" s="97"/>
      <c r="R6" s="67"/>
    </row>
    <row r="7" spans="1:18" ht="18" customHeight="1" thickTop="1" x14ac:dyDescent="0.25">
      <c r="A7" s="169" t="s">
        <v>57</v>
      </c>
      <c r="B7" s="101" t="s">
        <v>58</v>
      </c>
      <c r="C7" s="102" t="s">
        <v>53</v>
      </c>
      <c r="D7" s="103" t="str" cm="1">
        <f t="array" aca="1" ref="D7" ca="1">_xlfn.LET(_xlpm.filepath,CELL("filename",D7),MID(_xlpm.filepath,FIND("]",_xlpm.filepath)+1,3))</f>
        <v>005</v>
      </c>
      <c r="E7" s="103">
        <v>2</v>
      </c>
      <c r="F7" s="104" t="str">
        <f>"S"&amp;E7&amp;"+"</f>
        <v>S2+</v>
      </c>
      <c r="G7" s="103" t="s">
        <v>54</v>
      </c>
      <c r="H7" s="103" t="s">
        <v>55</v>
      </c>
      <c r="I7" s="63" t="str">
        <f>TEXT(E7,"00")&amp;"a"</f>
        <v>02a</v>
      </c>
      <c r="J7" s="103" t="s">
        <v>56</v>
      </c>
      <c r="K7" s="103" t="s">
        <v>57</v>
      </c>
      <c r="L7" s="63"/>
      <c r="M7" s="80" t="s">
        <v>490</v>
      </c>
      <c r="N7" s="63"/>
      <c r="O7" s="230"/>
      <c r="P7" s="230"/>
      <c r="Q7" s="227" t="s">
        <v>630</v>
      </c>
      <c r="R7" s="105">
        <v>0</v>
      </c>
    </row>
    <row r="8" spans="1:18" ht="18" customHeight="1" x14ac:dyDescent="0.25">
      <c r="A8" s="199"/>
      <c r="B8" s="107"/>
      <c r="C8" s="108"/>
      <c r="D8" s="109"/>
      <c r="E8" s="109"/>
      <c r="F8" s="116" t="str">
        <f>"AI"&amp;E7&amp;"+"</f>
        <v>AI2+</v>
      </c>
      <c r="G8" s="109"/>
      <c r="H8" s="109"/>
      <c r="I8" s="212" t="str">
        <f>TEXT(E7,"00")&amp;"b"</f>
        <v>02b</v>
      </c>
      <c r="J8" s="333"/>
      <c r="K8" s="109"/>
      <c r="L8" s="212" t="s">
        <v>482</v>
      </c>
      <c r="M8" s="112"/>
      <c r="N8" s="212" t="str">
        <f ca="1">D7&amp;"/"&amp;F8</f>
        <v>005/AI2+</v>
      </c>
      <c r="O8" s="212" t="s">
        <v>481</v>
      </c>
      <c r="P8" s="212">
        <v>7</v>
      </c>
      <c r="Q8" s="109"/>
      <c r="R8" s="111"/>
    </row>
    <row r="9" spans="1:18" ht="18" customHeight="1" x14ac:dyDescent="0.25">
      <c r="A9" s="199"/>
      <c r="B9" s="107"/>
      <c r="C9" s="108"/>
      <c r="D9" s="109"/>
      <c r="E9" s="109"/>
      <c r="F9" s="116" t="str">
        <f>"AI"&amp;E7&amp;"-"</f>
        <v>AI2-</v>
      </c>
      <c r="G9" s="109"/>
      <c r="H9" s="109"/>
      <c r="I9" s="212" t="str">
        <f>TEXT(E7,"00")&amp;"c"</f>
        <v>02c</v>
      </c>
      <c r="J9" s="333"/>
      <c r="K9" s="109"/>
      <c r="L9" s="212"/>
      <c r="M9" s="112"/>
      <c r="N9" s="212"/>
      <c r="O9" s="212"/>
      <c r="P9" s="212"/>
      <c r="Q9" s="109"/>
      <c r="R9" s="111"/>
    </row>
    <row r="10" spans="1:18" ht="18" customHeight="1" x14ac:dyDescent="0.25">
      <c r="A10" s="199"/>
      <c r="B10" s="107"/>
      <c r="C10" s="108"/>
      <c r="D10" s="109"/>
      <c r="E10" s="109"/>
      <c r="F10" s="116" t="s">
        <v>629</v>
      </c>
      <c r="G10" s="109"/>
      <c r="H10" s="109"/>
      <c r="I10" s="112"/>
      <c r="J10" s="333"/>
      <c r="K10" s="109"/>
      <c r="L10" s="212" t="s">
        <v>480</v>
      </c>
      <c r="M10" s="112"/>
      <c r="N10" s="212" t="s">
        <v>629</v>
      </c>
      <c r="O10" s="212" t="s">
        <v>481</v>
      </c>
      <c r="P10" s="212" t="s">
        <v>242</v>
      </c>
      <c r="Q10" s="109"/>
      <c r="R10" s="111"/>
    </row>
    <row r="11" spans="1:18" ht="18" customHeight="1" thickBot="1" x14ac:dyDescent="0.3">
      <c r="A11" s="199"/>
      <c r="B11" s="107"/>
      <c r="C11" s="108"/>
      <c r="D11" s="109"/>
      <c r="E11" s="109"/>
      <c r="F11" s="147" t="s">
        <v>628</v>
      </c>
      <c r="G11" s="109"/>
      <c r="H11" s="109"/>
      <c r="I11" s="112"/>
      <c r="J11" s="333"/>
      <c r="K11" s="109"/>
      <c r="L11" s="213" t="s">
        <v>483</v>
      </c>
      <c r="M11" s="112"/>
      <c r="N11" s="112" t="s">
        <v>628</v>
      </c>
      <c r="O11" s="233" t="s">
        <v>481</v>
      </c>
      <c r="P11" s="233" t="s">
        <v>102</v>
      </c>
      <c r="Q11" s="109"/>
      <c r="R11" s="111"/>
    </row>
    <row r="12" spans="1:18" ht="18" customHeight="1" thickTop="1" x14ac:dyDescent="0.25">
      <c r="A12" s="171" t="s">
        <v>59</v>
      </c>
      <c r="B12" s="258" t="s">
        <v>639</v>
      </c>
      <c r="C12" s="121" t="s">
        <v>53</v>
      </c>
      <c r="D12" s="122" t="str" cm="1">
        <f t="array" aca="1" ref="D12" ca="1">_xlfn.LET(_xlpm.filepath,CELL("filename",D12),MID(_xlpm.filepath,FIND("]",_xlpm.filepath)+1,3))</f>
        <v>005</v>
      </c>
      <c r="E12" s="122">
        <v>3</v>
      </c>
      <c r="F12" s="123" t="str">
        <f>"S"&amp;E12&amp;"+"</f>
        <v>S3+</v>
      </c>
      <c r="G12" s="122" t="s">
        <v>54</v>
      </c>
      <c r="H12" s="122" t="s">
        <v>55</v>
      </c>
      <c r="I12" s="214" t="str">
        <f>TEXT(E12,"00")&amp;"a"</f>
        <v>03a</v>
      </c>
      <c r="J12" s="122" t="s">
        <v>56</v>
      </c>
      <c r="K12" s="122" t="s">
        <v>59</v>
      </c>
      <c r="L12" s="214"/>
      <c r="M12" s="81" t="s">
        <v>490</v>
      </c>
      <c r="N12" s="214"/>
      <c r="O12" s="232"/>
      <c r="P12" s="232"/>
      <c r="Q12" s="228" t="s">
        <v>630</v>
      </c>
      <c r="R12" s="54" t="s">
        <v>674</v>
      </c>
    </row>
    <row r="13" spans="1:18" ht="18" customHeight="1" x14ac:dyDescent="0.25">
      <c r="A13" s="198"/>
      <c r="B13" s="93"/>
      <c r="C13" s="94"/>
      <c r="D13" s="95"/>
      <c r="E13" s="95"/>
      <c r="F13" s="115" t="str">
        <f>"AI"&amp;E12&amp;"+"</f>
        <v>AI3+</v>
      </c>
      <c r="G13" s="95"/>
      <c r="H13" s="95"/>
      <c r="I13" s="209" t="str">
        <f>TEXT(E12,"00")&amp;"b"</f>
        <v>03b</v>
      </c>
      <c r="J13" s="95"/>
      <c r="K13" s="95"/>
      <c r="L13" s="209" t="s">
        <v>482</v>
      </c>
      <c r="M13" s="99"/>
      <c r="N13" s="209" t="str">
        <f ca="1">D12&amp;"/"&amp;F13</f>
        <v>005/AI3+</v>
      </c>
      <c r="O13" s="209" t="s">
        <v>481</v>
      </c>
      <c r="P13" s="209">
        <v>11</v>
      </c>
      <c r="Q13" s="97"/>
      <c r="R13" s="98"/>
    </row>
    <row r="14" spans="1:18" ht="18" customHeight="1" x14ac:dyDescent="0.25">
      <c r="A14" s="198"/>
      <c r="B14" s="93"/>
      <c r="C14" s="94"/>
      <c r="D14" s="95"/>
      <c r="E14" s="95"/>
      <c r="F14" s="115" t="str">
        <f>"AI"&amp;E12&amp;"-"</f>
        <v>AI3-</v>
      </c>
      <c r="G14" s="95"/>
      <c r="H14" s="95"/>
      <c r="I14" s="115" t="str">
        <f>TEXT(E12,"00")&amp;"c"</f>
        <v>03c</v>
      </c>
      <c r="J14" s="311"/>
      <c r="K14" s="97"/>
      <c r="L14" s="115"/>
      <c r="M14" s="99"/>
      <c r="N14" s="115"/>
      <c r="O14" s="115"/>
      <c r="P14" s="115"/>
      <c r="Q14" s="97"/>
      <c r="R14" s="67"/>
    </row>
    <row r="15" spans="1:18" ht="18" customHeight="1" x14ac:dyDescent="0.25">
      <c r="A15" s="198"/>
      <c r="B15" s="93"/>
      <c r="C15" s="94"/>
      <c r="D15" s="95"/>
      <c r="E15" s="95"/>
      <c r="F15" s="246" t="s">
        <v>631</v>
      </c>
      <c r="G15" s="95"/>
      <c r="H15" s="95"/>
      <c r="I15" s="99"/>
      <c r="J15" s="311"/>
      <c r="K15" s="224"/>
      <c r="L15" s="209" t="s">
        <v>480</v>
      </c>
      <c r="M15" s="99"/>
      <c r="N15" s="331" t="s">
        <v>631</v>
      </c>
      <c r="O15" s="209" t="s">
        <v>481</v>
      </c>
      <c r="P15" s="209">
        <v>9</v>
      </c>
      <c r="Q15" s="97"/>
      <c r="R15" s="67"/>
    </row>
    <row r="16" spans="1:18" ht="18" customHeight="1" thickBot="1" x14ac:dyDescent="0.3">
      <c r="A16" s="198"/>
      <c r="B16" s="93"/>
      <c r="C16" s="94"/>
      <c r="D16" s="95"/>
      <c r="E16" s="95"/>
      <c r="F16" s="247" t="s">
        <v>632</v>
      </c>
      <c r="G16" s="95"/>
      <c r="H16" s="95"/>
      <c r="I16" s="99"/>
      <c r="J16" s="311"/>
      <c r="K16" s="302"/>
      <c r="L16" s="210" t="s">
        <v>483</v>
      </c>
      <c r="M16" s="99"/>
      <c r="N16" s="332" t="s">
        <v>632</v>
      </c>
      <c r="O16" s="231" t="s">
        <v>481</v>
      </c>
      <c r="P16" s="231">
        <v>12</v>
      </c>
      <c r="Q16" s="97"/>
      <c r="R16" s="67"/>
    </row>
    <row r="17" spans="1:20" ht="18" customHeight="1" thickTop="1" x14ac:dyDescent="0.25">
      <c r="A17" s="169" t="s">
        <v>60</v>
      </c>
      <c r="B17" s="259" t="s">
        <v>640</v>
      </c>
      <c r="C17" s="102" t="s">
        <v>53</v>
      </c>
      <c r="D17" s="103" t="str" cm="1">
        <f t="array" aca="1" ref="D17" ca="1">_xlfn.LET(_xlpm.filepath,CELL("filename",D17),MID(_xlpm.filepath,FIND("]",_xlpm.filepath)+1,3))</f>
        <v>005</v>
      </c>
      <c r="E17" s="103">
        <v>4</v>
      </c>
      <c r="F17" s="104" t="str">
        <f>"S"&amp;E17&amp;"+"</f>
        <v>S4+</v>
      </c>
      <c r="G17" s="103" t="s">
        <v>54</v>
      </c>
      <c r="H17" s="103" t="s">
        <v>55</v>
      </c>
      <c r="I17" s="63" t="str">
        <f>TEXT(E17,"00")&amp;"a"</f>
        <v>04a</v>
      </c>
      <c r="J17" s="103" t="s">
        <v>56</v>
      </c>
      <c r="K17" s="227" t="s">
        <v>60</v>
      </c>
      <c r="L17" s="63"/>
      <c r="M17" s="80" t="s">
        <v>490</v>
      </c>
      <c r="N17" s="63"/>
      <c r="O17" s="230"/>
      <c r="P17" s="230"/>
      <c r="Q17" s="227" t="s">
        <v>630</v>
      </c>
      <c r="R17" s="250" t="s">
        <v>674</v>
      </c>
    </row>
    <row r="18" spans="1:20" ht="18" customHeight="1" x14ac:dyDescent="0.25">
      <c r="A18" s="199"/>
      <c r="B18" s="107"/>
      <c r="C18" s="108"/>
      <c r="D18" s="109"/>
      <c r="E18" s="109"/>
      <c r="F18" s="116" t="str">
        <f>"AI"&amp;E17&amp;"+"</f>
        <v>AI4+</v>
      </c>
      <c r="G18" s="109"/>
      <c r="H18" s="109"/>
      <c r="I18" s="212" t="str">
        <f>TEXT(E17,"00")&amp;"b"</f>
        <v>04b</v>
      </c>
      <c r="J18" s="333"/>
      <c r="K18" s="109"/>
      <c r="L18" s="212" t="s">
        <v>482</v>
      </c>
      <c r="M18" s="112"/>
      <c r="N18" s="212" t="str">
        <f ca="1">D17&amp;"/"&amp;F18</f>
        <v>005/AI4+</v>
      </c>
      <c r="O18" s="212" t="s">
        <v>481</v>
      </c>
      <c r="P18" s="212">
        <v>15</v>
      </c>
      <c r="Q18" s="109"/>
      <c r="R18" s="111"/>
    </row>
    <row r="19" spans="1:20" ht="18" customHeight="1" x14ac:dyDescent="0.25">
      <c r="A19" s="199"/>
      <c r="B19" s="107"/>
      <c r="C19" s="108"/>
      <c r="D19" s="109"/>
      <c r="E19" s="109"/>
      <c r="F19" s="116" t="str">
        <f>"AI"&amp;E17&amp;"-"</f>
        <v>AI4-</v>
      </c>
      <c r="G19" s="109"/>
      <c r="H19" s="109"/>
      <c r="I19" s="212" t="str">
        <f>TEXT(E17,"00")&amp;"c"</f>
        <v>04c</v>
      </c>
      <c r="J19" s="333"/>
      <c r="K19" s="109"/>
      <c r="L19" s="212"/>
      <c r="M19" s="112"/>
      <c r="N19" s="212"/>
      <c r="O19" s="212"/>
      <c r="P19" s="212"/>
      <c r="Q19" s="109"/>
      <c r="R19" s="111"/>
    </row>
    <row r="20" spans="1:20" ht="18" customHeight="1" x14ac:dyDescent="0.25">
      <c r="A20" s="199"/>
      <c r="B20" s="107"/>
      <c r="C20" s="108"/>
      <c r="D20" s="109"/>
      <c r="E20" s="109"/>
      <c r="F20" s="248" t="s">
        <v>631</v>
      </c>
      <c r="G20" s="109"/>
      <c r="H20" s="109"/>
      <c r="I20" s="112"/>
      <c r="J20" s="333"/>
      <c r="K20" s="109"/>
      <c r="L20" s="212" t="s">
        <v>480</v>
      </c>
      <c r="M20" s="112"/>
      <c r="N20" s="212" t="s">
        <v>631</v>
      </c>
      <c r="O20" s="212" t="s">
        <v>481</v>
      </c>
      <c r="P20" s="212" t="s">
        <v>262</v>
      </c>
      <c r="Q20" s="109"/>
      <c r="R20" s="111"/>
    </row>
    <row r="21" spans="1:20" ht="18" customHeight="1" x14ac:dyDescent="0.25">
      <c r="A21" s="170"/>
      <c r="B21" s="126"/>
      <c r="C21" s="108"/>
      <c r="D21" s="109"/>
      <c r="E21" s="109"/>
      <c r="F21" s="249" t="s">
        <v>632</v>
      </c>
      <c r="G21" s="109"/>
      <c r="H21" s="109"/>
      <c r="I21" s="112"/>
      <c r="J21" s="333"/>
      <c r="K21" s="109"/>
      <c r="L21" s="213" t="s">
        <v>483</v>
      </c>
      <c r="M21" s="112"/>
      <c r="N21" s="112" t="s">
        <v>632</v>
      </c>
      <c r="O21" s="112" t="s">
        <v>481</v>
      </c>
      <c r="P21" s="213" t="s">
        <v>118</v>
      </c>
      <c r="Q21" s="109"/>
      <c r="R21" s="111"/>
    </row>
    <row r="22" spans="1:20" ht="18" customHeight="1" x14ac:dyDescent="0.25">
      <c r="A22" s="328" t="str">
        <f t="shared" ref="A22" ca="1" si="0">"SPAI-"&amp;D22&amp;"/"&amp;E22</f>
        <v>SPAI-005/5</v>
      </c>
      <c r="B22" s="329" t="s">
        <v>377</v>
      </c>
      <c r="C22" s="121" t="s">
        <v>53</v>
      </c>
      <c r="D22" s="122" t="str" cm="1">
        <f t="array" aca="1" ref="D22" ca="1">_xlfn.LET(_xlpm.filepath,CELL("filename",D22),MID(_xlpm.filepath,FIND("]",_xlpm.filepath)+1,3))</f>
        <v>005</v>
      </c>
      <c r="E22" s="122">
        <v>5</v>
      </c>
      <c r="F22" s="123" t="str">
        <f>"S"&amp;E22&amp;"+"</f>
        <v>S5+</v>
      </c>
      <c r="G22" s="122" t="s">
        <v>54</v>
      </c>
      <c r="H22" s="122" t="s">
        <v>55</v>
      </c>
      <c r="I22" s="214" t="str">
        <f>TEXT(E22,"00")&amp;"a"</f>
        <v>05a</v>
      </c>
      <c r="J22" s="122"/>
      <c r="K22" s="122"/>
      <c r="L22" s="214" t="s">
        <v>480</v>
      </c>
      <c r="M22" s="81" t="s">
        <v>490</v>
      </c>
      <c r="N22" s="214" t="str">
        <f ca="1">D22&amp;"/"&amp;F22</f>
        <v>005/S5+</v>
      </c>
      <c r="O22" s="214" t="s">
        <v>487</v>
      </c>
      <c r="P22" s="214">
        <v>1</v>
      </c>
      <c r="Q22" s="261" t="s">
        <v>389</v>
      </c>
      <c r="R22" s="54" t="s">
        <v>674</v>
      </c>
      <c r="T22" s="272" t="s">
        <v>652</v>
      </c>
    </row>
    <row r="23" spans="1:20" ht="18" customHeight="1" x14ac:dyDescent="0.25">
      <c r="A23" s="198"/>
      <c r="B23" s="93"/>
      <c r="C23" s="94"/>
      <c r="D23" s="95"/>
      <c r="E23" s="95"/>
      <c r="F23" s="115" t="str">
        <f>"AI"&amp;E22&amp;"+"</f>
        <v>AI5+</v>
      </c>
      <c r="G23" s="95"/>
      <c r="H23" s="95"/>
      <c r="I23" s="209" t="str">
        <f>TEXT(E22,"00")&amp;"b"</f>
        <v>05b</v>
      </c>
      <c r="J23" s="95"/>
      <c r="K23" s="95"/>
      <c r="L23" s="209" t="s">
        <v>482</v>
      </c>
      <c r="M23" s="99"/>
      <c r="N23" s="209" t="str">
        <f ca="1">D22&amp;"/"&amp;F23</f>
        <v>005/AI5+</v>
      </c>
      <c r="O23" s="209" t="s">
        <v>487</v>
      </c>
      <c r="P23" s="209">
        <v>2</v>
      </c>
      <c r="Q23" s="97"/>
      <c r="R23" s="98"/>
    </row>
    <row r="24" spans="1:20" ht="18" customHeight="1" x14ac:dyDescent="0.25">
      <c r="A24" s="198"/>
      <c r="B24" s="93"/>
      <c r="C24" s="94"/>
      <c r="D24" s="95"/>
      <c r="E24" s="95"/>
      <c r="F24" s="115" t="str">
        <f>"AI"&amp;E22&amp;"-"</f>
        <v>AI5-</v>
      </c>
      <c r="G24" s="95"/>
      <c r="H24" s="95"/>
      <c r="I24" s="115" t="str">
        <f>TEXT(E22,"00")&amp;"c"</f>
        <v>05c</v>
      </c>
      <c r="J24" s="95"/>
      <c r="K24" s="95"/>
      <c r="L24" s="210" t="s">
        <v>483</v>
      </c>
      <c r="M24" s="99"/>
      <c r="N24" s="210" t="str">
        <f ca="1">D22&amp;"/"&amp;F24</f>
        <v>005/AI5-</v>
      </c>
      <c r="O24" s="210" t="s">
        <v>487</v>
      </c>
      <c r="P24" s="115">
        <v>3</v>
      </c>
      <c r="Q24" s="97"/>
      <c r="R24" s="67"/>
    </row>
    <row r="25" spans="1:20" ht="18" customHeight="1" x14ac:dyDescent="0.25">
      <c r="A25" s="260" t="str">
        <f t="shared" ref="A25" ca="1" si="1">"SPAI-"&amp;D25&amp;"/"&amp;E25</f>
        <v>SPAI-005/6</v>
      </c>
      <c r="B25" s="259" t="s">
        <v>377</v>
      </c>
      <c r="C25" s="102" t="s">
        <v>53</v>
      </c>
      <c r="D25" s="103" t="str" cm="1">
        <f t="array" aca="1" ref="D25" ca="1">_xlfn.LET(_xlpm.filepath,CELL("filename",D25),MID(_xlpm.filepath,FIND("]",_xlpm.filepath)+1,3))</f>
        <v>005</v>
      </c>
      <c r="E25" s="103">
        <v>6</v>
      </c>
      <c r="F25" s="104" t="str">
        <f>"S"&amp;E25&amp;"+"</f>
        <v>S6+</v>
      </c>
      <c r="G25" s="103" t="s">
        <v>54</v>
      </c>
      <c r="H25" s="103" t="s">
        <v>55</v>
      </c>
      <c r="I25" s="63" t="str">
        <f>TEXT(E25,"00")&amp;"a"</f>
        <v>06a</v>
      </c>
      <c r="J25" s="103"/>
      <c r="K25" s="103"/>
      <c r="L25" s="63" t="s">
        <v>480</v>
      </c>
      <c r="M25" s="80" t="s">
        <v>490</v>
      </c>
      <c r="N25" s="63" t="str">
        <f ca="1">D25&amp;"/"&amp;F25</f>
        <v>005/S6+</v>
      </c>
      <c r="O25" s="63" t="s">
        <v>487</v>
      </c>
      <c r="P25" s="230" t="s">
        <v>96</v>
      </c>
      <c r="Q25" s="103" t="s">
        <v>389</v>
      </c>
      <c r="R25" s="250" t="s">
        <v>674</v>
      </c>
      <c r="T25" s="272" t="s">
        <v>652</v>
      </c>
    </row>
    <row r="26" spans="1:20" ht="18" customHeight="1" x14ac:dyDescent="0.25">
      <c r="A26" s="199"/>
      <c r="B26" s="107"/>
      <c r="C26" s="108"/>
      <c r="D26" s="109"/>
      <c r="E26" s="109"/>
      <c r="F26" s="116" t="str">
        <f>"AI"&amp;E25&amp;"+"</f>
        <v>AI6+</v>
      </c>
      <c r="G26" s="109"/>
      <c r="H26" s="109"/>
      <c r="I26" s="212" t="str">
        <f>TEXT(E25,"00")&amp;"b"</f>
        <v>06b</v>
      </c>
      <c r="J26" s="333"/>
      <c r="K26" s="109"/>
      <c r="L26" s="212" t="s">
        <v>482</v>
      </c>
      <c r="M26" s="112"/>
      <c r="N26" s="212" t="str">
        <f ca="1">D25&amp;"/"&amp;F26</f>
        <v>005/AI6+</v>
      </c>
      <c r="O26" s="212" t="s">
        <v>487</v>
      </c>
      <c r="P26" s="212" t="s">
        <v>242</v>
      </c>
      <c r="Q26" s="109"/>
      <c r="R26" s="111"/>
    </row>
    <row r="27" spans="1:20" ht="18" customHeight="1" x14ac:dyDescent="0.25">
      <c r="A27" s="199"/>
      <c r="B27" s="107"/>
      <c r="C27" s="108"/>
      <c r="D27" s="109"/>
      <c r="E27" s="109"/>
      <c r="F27" s="116" t="str">
        <f>"AI"&amp;E25&amp;"-"</f>
        <v>AI6-</v>
      </c>
      <c r="G27" s="109"/>
      <c r="H27" s="109"/>
      <c r="I27" s="212" t="str">
        <f>TEXT(E25,"00")&amp;"c"</f>
        <v>06c</v>
      </c>
      <c r="J27" s="333"/>
      <c r="K27" s="109"/>
      <c r="L27" s="213" t="s">
        <v>483</v>
      </c>
      <c r="M27" s="112"/>
      <c r="N27" s="213" t="str">
        <f ca="1">D25&amp;"/"&amp;F27</f>
        <v>005/AI6-</v>
      </c>
      <c r="O27" s="213" t="s">
        <v>487</v>
      </c>
      <c r="P27" s="212" t="s">
        <v>101</v>
      </c>
      <c r="Q27" s="109"/>
      <c r="R27" s="111"/>
    </row>
    <row r="28" spans="1:20" ht="18" customHeight="1" x14ac:dyDescent="0.25">
      <c r="A28" s="171" t="s">
        <v>61</v>
      </c>
      <c r="B28" s="120" t="s">
        <v>62</v>
      </c>
      <c r="C28" s="121" t="s">
        <v>53</v>
      </c>
      <c r="D28" s="122" t="str" cm="1">
        <f t="array" aca="1" ref="D28" ca="1">_xlfn.LET(_xlpm.filepath,CELL("filename",D28),MID(_xlpm.filepath,FIND("]",_xlpm.filepath)+1,3))</f>
        <v>005</v>
      </c>
      <c r="E28" s="122">
        <v>7</v>
      </c>
      <c r="F28" s="123" t="str">
        <f t="shared" ref="F28" si="2">"S"&amp;E28&amp;"+"</f>
        <v>S7+</v>
      </c>
      <c r="G28" s="122" t="s">
        <v>54</v>
      </c>
      <c r="H28" s="122" t="s">
        <v>55</v>
      </c>
      <c r="I28" s="214" t="str">
        <f t="shared" ref="I28" si="3">TEXT(E28,"00")&amp;"a"</f>
        <v>07a</v>
      </c>
      <c r="J28" s="122" t="s">
        <v>63</v>
      </c>
      <c r="K28" s="122" t="s">
        <v>61</v>
      </c>
      <c r="L28" s="214" t="s">
        <v>480</v>
      </c>
      <c r="M28" s="81" t="s">
        <v>490</v>
      </c>
      <c r="N28" s="214" t="str">
        <f ca="1">D28&amp;"/"&amp;F28</f>
        <v>005/S7+</v>
      </c>
      <c r="O28" s="214" t="s">
        <v>484</v>
      </c>
      <c r="P28" s="214">
        <v>21</v>
      </c>
      <c r="Q28" s="124" t="s">
        <v>389</v>
      </c>
      <c r="R28" s="54">
        <v>0</v>
      </c>
    </row>
    <row r="29" spans="1:20" ht="18" customHeight="1" x14ac:dyDescent="0.25">
      <c r="A29" s="198"/>
      <c r="B29" s="93"/>
      <c r="C29" s="94"/>
      <c r="D29" s="95"/>
      <c r="E29" s="95"/>
      <c r="F29" s="115" t="str">
        <f t="shared" ref="F29" si="4">"AI"&amp;E28&amp;"+"</f>
        <v>AI7+</v>
      </c>
      <c r="G29" s="95"/>
      <c r="H29" s="95"/>
      <c r="I29" s="209" t="str">
        <f t="shared" ref="I29" si="5">TEXT(E28,"00")&amp;"b"</f>
        <v>07b</v>
      </c>
      <c r="J29" s="95"/>
      <c r="K29" s="95"/>
      <c r="L29" s="209" t="s">
        <v>482</v>
      </c>
      <c r="M29" s="99"/>
      <c r="N29" s="209" t="str">
        <f ca="1">D28&amp;"/"&amp;F29</f>
        <v>005/AI7+</v>
      </c>
      <c r="O29" s="209" t="s">
        <v>484</v>
      </c>
      <c r="P29" s="209">
        <v>22</v>
      </c>
      <c r="Q29" s="97"/>
      <c r="R29" s="98"/>
    </row>
    <row r="30" spans="1:20" ht="18" customHeight="1" x14ac:dyDescent="0.25">
      <c r="A30" s="198"/>
      <c r="B30" s="93"/>
      <c r="C30" s="94"/>
      <c r="D30" s="95"/>
      <c r="E30" s="95"/>
      <c r="F30" s="117" t="str">
        <f>"AI"&amp;E28&amp;"-"</f>
        <v>AI7-</v>
      </c>
      <c r="G30" s="95"/>
      <c r="H30" s="95"/>
      <c r="I30" s="210" t="str">
        <f t="shared" ref="I30" si="6">TEXT(E28,"00")&amp;"c"</f>
        <v>07c</v>
      </c>
      <c r="J30" s="95"/>
      <c r="K30" s="95"/>
      <c r="L30" s="210" t="s">
        <v>483</v>
      </c>
      <c r="M30" s="99"/>
      <c r="N30" s="210" t="str">
        <f ca="1">D28&amp;"/"&amp;F30</f>
        <v>005/AI7-</v>
      </c>
      <c r="O30" s="210" t="s">
        <v>484</v>
      </c>
      <c r="P30" s="210">
        <v>23</v>
      </c>
      <c r="Q30" s="97"/>
      <c r="R30" s="67"/>
    </row>
    <row r="31" spans="1:20" ht="18" customHeight="1" x14ac:dyDescent="0.25">
      <c r="A31" s="169" t="s">
        <v>64</v>
      </c>
      <c r="B31" s="101" t="s">
        <v>65</v>
      </c>
      <c r="C31" s="102" t="s">
        <v>53</v>
      </c>
      <c r="D31" s="103" t="str" cm="1">
        <f t="array" aca="1" ref="D31" ca="1">_xlfn.LET(_xlpm.filepath,CELL("filename",D31),MID(_xlpm.filepath,FIND("]",_xlpm.filepath)+1,3))</f>
        <v>005</v>
      </c>
      <c r="E31" s="103">
        <v>8</v>
      </c>
      <c r="F31" s="104" t="str">
        <f t="shared" ref="F31" si="7">"S"&amp;E31&amp;"+"</f>
        <v>S8+</v>
      </c>
      <c r="G31" s="103" t="s">
        <v>54</v>
      </c>
      <c r="H31" s="103" t="s">
        <v>55</v>
      </c>
      <c r="I31" s="63" t="str">
        <f t="shared" ref="I31" si="8">TEXT(E31,"00")&amp;"a"</f>
        <v>08a</v>
      </c>
      <c r="J31" s="103" t="s">
        <v>63</v>
      </c>
      <c r="K31" s="103" t="s">
        <v>64</v>
      </c>
      <c r="L31" s="63" t="s">
        <v>480</v>
      </c>
      <c r="M31" s="80" t="s">
        <v>490</v>
      </c>
      <c r="N31" s="63" t="str">
        <f ca="1">D31&amp;"/"&amp;F31</f>
        <v>005/S8+</v>
      </c>
      <c r="O31" s="63" t="s">
        <v>484</v>
      </c>
      <c r="P31" s="63">
        <v>24</v>
      </c>
      <c r="Q31" s="103" t="s">
        <v>389</v>
      </c>
      <c r="R31" s="105">
        <v>0</v>
      </c>
    </row>
    <row r="32" spans="1:20" ht="18" customHeight="1" x14ac:dyDescent="0.25">
      <c r="A32" s="199"/>
      <c r="B32" s="107"/>
      <c r="C32" s="108"/>
      <c r="D32" s="109"/>
      <c r="E32" s="109"/>
      <c r="F32" s="116" t="str">
        <f t="shared" ref="F32" si="9">"AI"&amp;E31&amp;"+"</f>
        <v>AI8+</v>
      </c>
      <c r="G32" s="109"/>
      <c r="H32" s="109"/>
      <c r="I32" s="212" t="str">
        <f t="shared" ref="I32" si="10">TEXT(E31,"00")&amp;"b"</f>
        <v>08b</v>
      </c>
      <c r="J32" s="333"/>
      <c r="K32" s="109"/>
      <c r="L32" s="212" t="s">
        <v>482</v>
      </c>
      <c r="M32" s="112"/>
      <c r="N32" s="212" t="str">
        <f ca="1">D31&amp;"/"&amp;F32</f>
        <v>005/AI8+</v>
      </c>
      <c r="O32" s="212" t="s">
        <v>484</v>
      </c>
      <c r="P32" s="212">
        <v>25</v>
      </c>
      <c r="Q32" s="109"/>
      <c r="R32" s="111"/>
    </row>
    <row r="33" spans="1:20" ht="18" customHeight="1" x14ac:dyDescent="0.25">
      <c r="A33" s="199"/>
      <c r="B33" s="107"/>
      <c r="C33" s="108"/>
      <c r="D33" s="109"/>
      <c r="E33" s="109"/>
      <c r="F33" s="110" t="str">
        <f>"AI"&amp;E31&amp;"-"</f>
        <v>AI8-</v>
      </c>
      <c r="G33" s="109"/>
      <c r="H33" s="109"/>
      <c r="I33" s="213" t="str">
        <f t="shared" ref="I33" si="11">TEXT(E31,"00")&amp;"c"</f>
        <v>08c</v>
      </c>
      <c r="J33" s="333"/>
      <c r="K33" s="109"/>
      <c r="L33" s="213" t="s">
        <v>483</v>
      </c>
      <c r="M33" s="112"/>
      <c r="N33" s="213" t="str">
        <f ca="1">D31&amp;"/"&amp;F33</f>
        <v>005/AI8-</v>
      </c>
      <c r="O33" s="213" t="s">
        <v>484</v>
      </c>
      <c r="P33" s="213">
        <v>26</v>
      </c>
      <c r="Q33" s="109"/>
      <c r="R33" s="111"/>
    </row>
    <row r="34" spans="1:20" ht="18" customHeight="1" x14ac:dyDescent="0.25">
      <c r="A34" s="171" t="s">
        <v>66</v>
      </c>
      <c r="B34" s="120" t="s">
        <v>67</v>
      </c>
      <c r="C34" s="121" t="s">
        <v>53</v>
      </c>
      <c r="D34" s="122" t="str" cm="1">
        <f t="array" aca="1" ref="D34" ca="1">_xlfn.LET(_xlpm.filepath,CELL("filename",D34),MID(_xlpm.filepath,FIND("]",_xlpm.filepath)+1,3))</f>
        <v>005</v>
      </c>
      <c r="E34" s="122">
        <v>9</v>
      </c>
      <c r="F34" s="123" t="str">
        <f t="shared" ref="F34" si="12">"S"&amp;E34&amp;"+"</f>
        <v>S9+</v>
      </c>
      <c r="G34" s="122" t="s">
        <v>54</v>
      </c>
      <c r="H34" s="122" t="s">
        <v>55</v>
      </c>
      <c r="I34" s="214" t="str">
        <f t="shared" ref="I34" si="13">TEXT(E34,"00")&amp;"a"</f>
        <v>09a</v>
      </c>
      <c r="J34" s="122" t="s">
        <v>63</v>
      </c>
      <c r="K34" s="122" t="s">
        <v>66</v>
      </c>
      <c r="L34" s="214" t="s">
        <v>480</v>
      </c>
      <c r="M34" s="81" t="s">
        <v>490</v>
      </c>
      <c r="N34" s="214" t="str">
        <f ca="1">D34&amp;"/"&amp;F34</f>
        <v>005/S9+</v>
      </c>
      <c r="O34" s="214" t="s">
        <v>484</v>
      </c>
      <c r="P34" s="214">
        <v>27</v>
      </c>
      <c r="Q34" s="124" t="s">
        <v>389</v>
      </c>
      <c r="R34" s="54">
        <v>0</v>
      </c>
    </row>
    <row r="35" spans="1:20" ht="18" customHeight="1" x14ac:dyDescent="0.25">
      <c r="A35" s="198"/>
      <c r="B35" s="93"/>
      <c r="C35" s="94"/>
      <c r="D35" s="95"/>
      <c r="E35" s="95"/>
      <c r="F35" s="115" t="str">
        <f t="shared" ref="F35" si="14">"AI"&amp;E34&amp;"+"</f>
        <v>AI9+</v>
      </c>
      <c r="G35" s="95"/>
      <c r="H35" s="95"/>
      <c r="I35" s="209" t="str">
        <f t="shared" ref="I35" si="15">TEXT(E34,"00")&amp;"b"</f>
        <v>09b</v>
      </c>
      <c r="J35" s="95"/>
      <c r="K35" s="95"/>
      <c r="L35" s="209" t="s">
        <v>482</v>
      </c>
      <c r="M35" s="99"/>
      <c r="N35" s="209" t="str">
        <f ca="1">D34&amp;"/"&amp;F35</f>
        <v>005/AI9+</v>
      </c>
      <c r="O35" s="209" t="s">
        <v>484</v>
      </c>
      <c r="P35" s="209">
        <v>28</v>
      </c>
      <c r="Q35" s="97"/>
      <c r="R35" s="98"/>
    </row>
    <row r="36" spans="1:20" ht="18" customHeight="1" x14ac:dyDescent="0.25">
      <c r="A36" s="198"/>
      <c r="B36" s="93"/>
      <c r="C36" s="94"/>
      <c r="D36" s="95"/>
      <c r="E36" s="95"/>
      <c r="F36" s="117" t="str">
        <f>"AI"&amp;E34&amp;"-"</f>
        <v>AI9-</v>
      </c>
      <c r="G36" s="95"/>
      <c r="H36" s="95"/>
      <c r="I36" s="210" t="str">
        <f t="shared" ref="I36" si="16">TEXT(E34,"00")&amp;"c"</f>
        <v>09c</v>
      </c>
      <c r="J36" s="95"/>
      <c r="K36" s="95"/>
      <c r="L36" s="210" t="s">
        <v>483</v>
      </c>
      <c r="M36" s="99"/>
      <c r="N36" s="210" t="str">
        <f ca="1">D34&amp;"/"&amp;F36</f>
        <v>005/AI9-</v>
      </c>
      <c r="O36" s="210" t="s">
        <v>484</v>
      </c>
      <c r="P36" s="210">
        <v>29</v>
      </c>
      <c r="Q36" s="97"/>
      <c r="R36" s="67"/>
    </row>
    <row r="37" spans="1:20" ht="18" customHeight="1" x14ac:dyDescent="0.25">
      <c r="A37" s="169" t="s">
        <v>68</v>
      </c>
      <c r="B37" s="101" t="s">
        <v>69</v>
      </c>
      <c r="C37" s="102" t="s">
        <v>53</v>
      </c>
      <c r="D37" s="103" t="str" cm="1">
        <f t="array" aca="1" ref="D37" ca="1">_xlfn.LET(_xlpm.filepath,CELL("filename",D37),MID(_xlpm.filepath,FIND("]",_xlpm.filepath)+1,3))</f>
        <v>005</v>
      </c>
      <c r="E37" s="103">
        <v>10</v>
      </c>
      <c r="F37" s="104" t="str">
        <f>"S"&amp;E37&amp;"+"</f>
        <v>S10+</v>
      </c>
      <c r="G37" s="103" t="s">
        <v>54</v>
      </c>
      <c r="H37" s="103" t="s">
        <v>55</v>
      </c>
      <c r="I37" s="63" t="str">
        <f t="shared" ref="I37" si="17">TEXT(E37,"00")&amp;"a"</f>
        <v>10a</v>
      </c>
      <c r="J37" s="103" t="s">
        <v>63</v>
      </c>
      <c r="K37" s="103" t="s">
        <v>68</v>
      </c>
      <c r="L37" s="424" t="s">
        <v>480</v>
      </c>
      <c r="M37" s="425" t="s">
        <v>490</v>
      </c>
      <c r="N37" s="424" t="str">
        <f ca="1">D37&amp;"/"&amp;F37</f>
        <v>005/S10+</v>
      </c>
      <c r="O37" s="424" t="s">
        <v>484</v>
      </c>
      <c r="P37" s="424" t="s">
        <v>150</v>
      </c>
      <c r="Q37" s="103" t="s">
        <v>389</v>
      </c>
      <c r="R37" s="401" t="s">
        <v>711</v>
      </c>
      <c r="T37" s="400" t="s">
        <v>726</v>
      </c>
    </row>
    <row r="38" spans="1:20" ht="18" customHeight="1" x14ac:dyDescent="0.25">
      <c r="A38" s="199"/>
      <c r="B38" s="107"/>
      <c r="C38" s="108"/>
      <c r="D38" s="109"/>
      <c r="E38" s="109"/>
      <c r="F38" s="116" t="str">
        <f>"AI"&amp;E37&amp;"+"</f>
        <v>AI10+</v>
      </c>
      <c r="G38" s="109"/>
      <c r="H38" s="109"/>
      <c r="I38" s="230" t="s">
        <v>410</v>
      </c>
      <c r="J38" s="109"/>
      <c r="K38" s="109"/>
      <c r="L38" s="426" t="s">
        <v>482</v>
      </c>
      <c r="M38" s="427"/>
      <c r="N38" s="426" t="str">
        <f ca="1">D37&amp;"/"&amp;F38</f>
        <v>005/AI10+</v>
      </c>
      <c r="O38" s="426" t="s">
        <v>484</v>
      </c>
      <c r="P38" s="428" t="s">
        <v>675</v>
      </c>
      <c r="Q38" s="109"/>
      <c r="R38" s="325"/>
    </row>
    <row r="39" spans="1:20" ht="18" customHeight="1" x14ac:dyDescent="0.25">
      <c r="A39" s="199"/>
      <c r="B39" s="107"/>
      <c r="C39" s="108"/>
      <c r="D39" s="109"/>
      <c r="E39" s="109"/>
      <c r="F39" s="116" t="str">
        <f>"AI"&amp;E37&amp;"-"</f>
        <v>AI10-</v>
      </c>
      <c r="G39" s="109"/>
      <c r="H39" s="109"/>
      <c r="I39" s="230" t="s">
        <v>678</v>
      </c>
      <c r="J39" s="109"/>
      <c r="K39" s="109"/>
      <c r="L39" s="429" t="s">
        <v>483</v>
      </c>
      <c r="M39" s="427"/>
      <c r="N39" s="429" t="str">
        <f ca="1">D37&amp;"/"&amp;F39</f>
        <v>005/AI10-</v>
      </c>
      <c r="O39" s="429" t="s">
        <v>484</v>
      </c>
      <c r="P39" s="428" t="s">
        <v>154</v>
      </c>
      <c r="Q39" s="109"/>
      <c r="R39" s="325"/>
    </row>
    <row r="40" spans="1:20" ht="18" customHeight="1" x14ac:dyDescent="0.25">
      <c r="A40" s="171" t="s">
        <v>70</v>
      </c>
      <c r="B40" s="120" t="s">
        <v>71</v>
      </c>
      <c r="C40" s="121" t="s">
        <v>53</v>
      </c>
      <c r="D40" s="122" t="str" cm="1">
        <f t="array" aca="1" ref="D40" ca="1">_xlfn.LET(_xlpm.filepath,CELL("filename",D40),MID(_xlpm.filepath,FIND("]",_xlpm.filepath)+1,3))</f>
        <v>005</v>
      </c>
      <c r="E40" s="122">
        <v>11</v>
      </c>
      <c r="F40" s="252" t="str">
        <f>"S"&amp;E40&amp;"+"</f>
        <v>S11+</v>
      </c>
      <c r="G40" s="122" t="s">
        <v>54</v>
      </c>
      <c r="H40" s="122" t="s">
        <v>55</v>
      </c>
      <c r="I40" s="214" t="str">
        <f t="shared" ref="I40" si="18">TEXT(E40,"00")&amp;"a"</f>
        <v>11a</v>
      </c>
      <c r="J40" s="122" t="s">
        <v>63</v>
      </c>
      <c r="K40" s="122" t="s">
        <v>70</v>
      </c>
      <c r="L40" s="430" t="s">
        <v>480</v>
      </c>
      <c r="M40" s="431" t="s">
        <v>490</v>
      </c>
      <c r="N40" s="430" t="str">
        <f ca="1">D40&amp;"/"&amp;F40</f>
        <v>005/S11+</v>
      </c>
      <c r="O40" s="430" t="s">
        <v>484</v>
      </c>
      <c r="P40" s="430">
        <v>33</v>
      </c>
      <c r="Q40" s="124" t="s">
        <v>389</v>
      </c>
      <c r="R40" s="54" t="s">
        <v>711</v>
      </c>
      <c r="T40" s="400" t="s">
        <v>726</v>
      </c>
    </row>
    <row r="41" spans="1:20" ht="18" customHeight="1" x14ac:dyDescent="0.25">
      <c r="A41" s="198"/>
      <c r="B41" s="93"/>
      <c r="C41" s="94"/>
      <c r="D41" s="95"/>
      <c r="E41" s="95"/>
      <c r="F41" s="330" t="str">
        <f>"AI"&amp;E40&amp;"+"</f>
        <v>AI11+</v>
      </c>
      <c r="G41" s="95"/>
      <c r="H41" s="95"/>
      <c r="I41" s="232" t="s">
        <v>412</v>
      </c>
      <c r="J41" s="95"/>
      <c r="K41" s="95"/>
      <c r="L41" s="432" t="s">
        <v>482</v>
      </c>
      <c r="M41" s="433"/>
      <c r="N41" s="432" t="str">
        <f ca="1">D40&amp;"/"&amp;F41</f>
        <v>005/AI11+</v>
      </c>
      <c r="O41" s="432" t="s">
        <v>484</v>
      </c>
      <c r="P41" s="434">
        <v>34</v>
      </c>
      <c r="Q41" s="97"/>
      <c r="R41" s="312"/>
    </row>
    <row r="42" spans="1:20" ht="18" customHeight="1" x14ac:dyDescent="0.25">
      <c r="A42" s="198"/>
      <c r="B42" s="93"/>
      <c r="C42" s="94"/>
      <c r="D42" s="95"/>
      <c r="E42" s="95"/>
      <c r="F42" s="330" t="str">
        <f>"AI"&amp;E40&amp;"-"</f>
        <v>AI11-</v>
      </c>
      <c r="G42" s="95"/>
      <c r="H42" s="95"/>
      <c r="I42" s="232" t="s">
        <v>676</v>
      </c>
      <c r="J42" s="95"/>
      <c r="K42" s="95"/>
      <c r="L42" s="435" t="s">
        <v>483</v>
      </c>
      <c r="M42" s="433"/>
      <c r="N42" s="435" t="str">
        <f ca="1">D40&amp;"/"&amp;F42</f>
        <v>005/AI11-</v>
      </c>
      <c r="O42" s="435" t="s">
        <v>484</v>
      </c>
      <c r="P42" s="434">
        <v>35</v>
      </c>
      <c r="Q42" s="97"/>
      <c r="R42" s="312"/>
    </row>
    <row r="43" spans="1:20" ht="18" customHeight="1" x14ac:dyDescent="0.25">
      <c r="A43" s="169" t="s">
        <v>72</v>
      </c>
      <c r="B43" s="101" t="s">
        <v>73</v>
      </c>
      <c r="C43" s="102" t="s">
        <v>53</v>
      </c>
      <c r="D43" s="103" t="str" cm="1">
        <f t="array" aca="1" ref="D43" ca="1">_xlfn.LET(_xlpm.filepath,CELL("filename",D43),MID(_xlpm.filepath,FIND("]",_xlpm.filepath)+1,3))</f>
        <v>005</v>
      </c>
      <c r="E43" s="103">
        <v>12</v>
      </c>
      <c r="F43" s="104" t="str">
        <f>"S"&amp;E43&amp;"+"</f>
        <v>S12+</v>
      </c>
      <c r="G43" s="103" t="s">
        <v>54</v>
      </c>
      <c r="H43" s="103" t="s">
        <v>55</v>
      </c>
      <c r="I43" s="63" t="str">
        <f t="shared" ref="I43" si="19">TEXT(E43,"00")&amp;"a"</f>
        <v>12a</v>
      </c>
      <c r="J43" s="103" t="s">
        <v>63</v>
      </c>
      <c r="K43" s="103" t="s">
        <v>72</v>
      </c>
      <c r="L43" s="424" t="s">
        <v>480</v>
      </c>
      <c r="M43" s="425" t="s">
        <v>490</v>
      </c>
      <c r="N43" s="424" t="str">
        <f ca="1">D43&amp;"/"&amp;F43</f>
        <v>005/S12+</v>
      </c>
      <c r="O43" s="424" t="s">
        <v>484</v>
      </c>
      <c r="P43" s="424" t="s">
        <v>679</v>
      </c>
      <c r="Q43" s="103" t="s">
        <v>389</v>
      </c>
      <c r="R43" s="401" t="s">
        <v>711</v>
      </c>
      <c r="T43" s="400" t="s">
        <v>726</v>
      </c>
    </row>
    <row r="44" spans="1:20" ht="18" customHeight="1" x14ac:dyDescent="0.25">
      <c r="A44" s="199"/>
      <c r="B44" s="107"/>
      <c r="C44" s="108"/>
      <c r="D44" s="109"/>
      <c r="E44" s="109"/>
      <c r="F44" s="116" t="str">
        <f>"AI"&amp;E43&amp;"+"</f>
        <v>AI12+</v>
      </c>
      <c r="G44" s="109"/>
      <c r="H44" s="109"/>
      <c r="I44" s="230" t="s">
        <v>414</v>
      </c>
      <c r="J44" s="109"/>
      <c r="K44" s="109"/>
      <c r="L44" s="426" t="s">
        <v>482</v>
      </c>
      <c r="M44" s="427"/>
      <c r="N44" s="426" t="str">
        <f ca="1">D43&amp;"/"&amp;F44</f>
        <v>005/AI12+</v>
      </c>
      <c r="O44" s="426" t="s">
        <v>484</v>
      </c>
      <c r="P44" s="428" t="s">
        <v>680</v>
      </c>
      <c r="Q44" s="109"/>
      <c r="R44" s="325"/>
    </row>
    <row r="45" spans="1:20" ht="18" customHeight="1" x14ac:dyDescent="0.25">
      <c r="A45" s="199"/>
      <c r="B45" s="107"/>
      <c r="C45" s="108"/>
      <c r="D45" s="109"/>
      <c r="E45" s="109"/>
      <c r="F45" s="116" t="str">
        <f>"AI"&amp;E43&amp;"-"</f>
        <v>AI12-</v>
      </c>
      <c r="G45" s="109"/>
      <c r="H45" s="109"/>
      <c r="I45" s="230" t="s">
        <v>677</v>
      </c>
      <c r="J45" s="109"/>
      <c r="K45" s="109"/>
      <c r="L45" s="429" t="s">
        <v>483</v>
      </c>
      <c r="M45" s="427"/>
      <c r="N45" s="429" t="str">
        <f ca="1">D43&amp;"/"&amp;F45</f>
        <v>005/AI12-</v>
      </c>
      <c r="O45" s="429" t="s">
        <v>484</v>
      </c>
      <c r="P45" s="428" t="s">
        <v>725</v>
      </c>
      <c r="Q45" s="109"/>
      <c r="R45" s="325"/>
    </row>
    <row r="46" spans="1:20" ht="18" customHeight="1" x14ac:dyDescent="0.25">
      <c r="A46" s="119" t="s">
        <v>486</v>
      </c>
      <c r="B46" s="120" t="s">
        <v>377</v>
      </c>
      <c r="C46" s="121" t="s">
        <v>53</v>
      </c>
      <c r="D46" s="122" t="str" cm="1">
        <f t="array" aca="1" ref="D46" ca="1">_xlfn.LET(_xlpm.filepath,CELL("filename",D46),MID(_xlpm.filepath,FIND("]",_xlpm.filepath)+1,3))</f>
        <v>005</v>
      </c>
      <c r="E46" s="122">
        <v>13</v>
      </c>
      <c r="F46" s="123" t="str">
        <f t="shared" ref="F46" si="20">"S"&amp;E46&amp;"+"</f>
        <v>S13+</v>
      </c>
      <c r="G46" s="122" t="s">
        <v>54</v>
      </c>
      <c r="H46" s="122" t="s">
        <v>55</v>
      </c>
      <c r="I46" s="214" t="str">
        <f t="shared" ref="I46" si="21">TEXT(E46,"00")&amp;"a"</f>
        <v>13a</v>
      </c>
      <c r="J46" s="122"/>
      <c r="K46" s="122"/>
      <c r="L46" s="214" t="s">
        <v>480</v>
      </c>
      <c r="M46" s="81" t="s">
        <v>490</v>
      </c>
      <c r="N46" s="214" t="str">
        <f ca="1">D46&amp;"/"&amp;F46</f>
        <v>005/S13+</v>
      </c>
      <c r="O46" s="214" t="s">
        <v>487</v>
      </c>
      <c r="P46" s="214">
        <v>7</v>
      </c>
      <c r="Q46" s="124" t="s">
        <v>389</v>
      </c>
      <c r="R46" s="54" t="s">
        <v>674</v>
      </c>
      <c r="T46" s="272" t="s">
        <v>652</v>
      </c>
    </row>
    <row r="47" spans="1:20" ht="18" customHeight="1" x14ac:dyDescent="0.25">
      <c r="A47" s="92"/>
      <c r="B47" s="93"/>
      <c r="C47" s="94"/>
      <c r="D47" s="95"/>
      <c r="E47" s="95"/>
      <c r="F47" s="115" t="str">
        <f t="shared" ref="F47" si="22">"AI"&amp;E46&amp;"+"</f>
        <v>AI13+</v>
      </c>
      <c r="G47" s="95"/>
      <c r="H47" s="95"/>
      <c r="I47" s="209" t="str">
        <f t="shared" ref="I47" si="23">TEXT(E46,"00")&amp;"b"</f>
        <v>13b</v>
      </c>
      <c r="J47" s="95"/>
      <c r="K47" s="95"/>
      <c r="L47" s="209" t="s">
        <v>482</v>
      </c>
      <c r="M47" s="99"/>
      <c r="N47" s="209" t="str">
        <f ca="1">D46&amp;"/"&amp;F47</f>
        <v>005/AI13+</v>
      </c>
      <c r="O47" s="209" t="s">
        <v>487</v>
      </c>
      <c r="P47" s="209">
        <v>8</v>
      </c>
      <c r="Q47" s="97"/>
      <c r="R47" s="98"/>
    </row>
    <row r="48" spans="1:20" ht="18" customHeight="1" x14ac:dyDescent="0.25">
      <c r="A48" s="92"/>
      <c r="B48" s="93"/>
      <c r="C48" s="94"/>
      <c r="D48" s="95"/>
      <c r="E48" s="95"/>
      <c r="F48" s="117" t="str">
        <f>"AI"&amp;E46&amp;"-"</f>
        <v>AI13-</v>
      </c>
      <c r="G48" s="95"/>
      <c r="H48" s="95"/>
      <c r="I48" s="210" t="str">
        <f t="shared" ref="I48" si="24">TEXT(E46,"00")&amp;"c"</f>
        <v>13c</v>
      </c>
      <c r="J48" s="95"/>
      <c r="K48" s="95"/>
      <c r="L48" s="210" t="s">
        <v>483</v>
      </c>
      <c r="M48" s="99"/>
      <c r="N48" s="210" t="str">
        <f ca="1">D46&amp;"/"&amp;F48</f>
        <v>005/AI13-</v>
      </c>
      <c r="O48" s="210" t="s">
        <v>487</v>
      </c>
      <c r="P48" s="210">
        <v>9</v>
      </c>
      <c r="Q48" s="97"/>
      <c r="R48" s="67"/>
    </row>
    <row r="49" spans="1:20" ht="18" customHeight="1" x14ac:dyDescent="0.25">
      <c r="A49" s="100" t="s">
        <v>488</v>
      </c>
      <c r="B49" s="101" t="s">
        <v>377</v>
      </c>
      <c r="C49" s="102" t="s">
        <v>53</v>
      </c>
      <c r="D49" s="103" t="str" cm="1">
        <f t="array" aca="1" ref="D49" ca="1">_xlfn.LET(_xlpm.filepath,CELL("filename",D49),MID(_xlpm.filepath,FIND("]",_xlpm.filepath)+1,3))</f>
        <v>005</v>
      </c>
      <c r="E49" s="103">
        <v>14</v>
      </c>
      <c r="F49" s="104" t="str">
        <f t="shared" ref="F49" si="25">"S"&amp;E49&amp;"+"</f>
        <v>S14+</v>
      </c>
      <c r="G49" s="103" t="s">
        <v>54</v>
      </c>
      <c r="H49" s="103" t="s">
        <v>55</v>
      </c>
      <c r="I49" s="63" t="str">
        <f t="shared" ref="I49" si="26">TEXT(E49,"00")&amp;"a"</f>
        <v>14a</v>
      </c>
      <c r="J49" s="103"/>
      <c r="K49" s="103"/>
      <c r="L49" s="63" t="s">
        <v>480</v>
      </c>
      <c r="M49" s="80" t="s">
        <v>490</v>
      </c>
      <c r="N49" s="63" t="str">
        <f ca="1">D49&amp;"/"&amp;F49</f>
        <v>005/S14+</v>
      </c>
      <c r="O49" s="63" t="s">
        <v>487</v>
      </c>
      <c r="P49" s="63" t="s">
        <v>105</v>
      </c>
      <c r="Q49" s="103" t="s">
        <v>389</v>
      </c>
      <c r="R49" s="262" t="s">
        <v>674</v>
      </c>
      <c r="T49" s="272" t="s">
        <v>652</v>
      </c>
    </row>
    <row r="50" spans="1:20" ht="18" customHeight="1" x14ac:dyDescent="0.25">
      <c r="A50" s="106"/>
      <c r="B50" s="107"/>
      <c r="C50" s="108"/>
      <c r="D50" s="109"/>
      <c r="E50" s="109"/>
      <c r="F50" s="116" t="str">
        <f t="shared" ref="F50" si="27">"AI"&amp;E49&amp;"+"</f>
        <v>AI14+</v>
      </c>
      <c r="G50" s="109"/>
      <c r="H50" s="109"/>
      <c r="I50" s="212" t="str">
        <f t="shared" ref="I50" si="28">TEXT(E49,"00")&amp;"b"</f>
        <v>14b</v>
      </c>
      <c r="J50" s="333"/>
      <c r="K50" s="109"/>
      <c r="L50" s="212" t="s">
        <v>482</v>
      </c>
      <c r="M50" s="112"/>
      <c r="N50" s="212" t="str">
        <f ca="1">D49&amp;"/"&amp;F50</f>
        <v>005/AI14+</v>
      </c>
      <c r="O50" s="212" t="s">
        <v>487</v>
      </c>
      <c r="P50" s="212" t="s">
        <v>257</v>
      </c>
      <c r="Q50" s="109"/>
      <c r="R50" s="111"/>
    </row>
    <row r="51" spans="1:20" ht="18" customHeight="1" x14ac:dyDescent="0.25">
      <c r="A51" s="106"/>
      <c r="B51" s="107"/>
      <c r="C51" s="108"/>
      <c r="D51" s="109"/>
      <c r="E51" s="109"/>
      <c r="F51" s="110" t="str">
        <f>"AI"&amp;E49&amp;"-"</f>
        <v>AI14-</v>
      </c>
      <c r="G51" s="109"/>
      <c r="H51" s="109"/>
      <c r="I51" s="213" t="str">
        <f t="shared" ref="I51" si="29">TEXT(E49,"00")&amp;"c"</f>
        <v>14c</v>
      </c>
      <c r="J51" s="333"/>
      <c r="K51" s="109"/>
      <c r="L51" s="213" t="s">
        <v>483</v>
      </c>
      <c r="M51" s="112"/>
      <c r="N51" s="213" t="str">
        <f ca="1">D49&amp;"/"&amp;F51</f>
        <v>005/AI14-</v>
      </c>
      <c r="O51" s="213" t="s">
        <v>487</v>
      </c>
      <c r="P51" s="213" t="s">
        <v>108</v>
      </c>
      <c r="Q51" s="109"/>
      <c r="R51" s="111"/>
    </row>
    <row r="52" spans="1:20" ht="18" customHeight="1" x14ac:dyDescent="0.25">
      <c r="A52" s="119" t="s">
        <v>486</v>
      </c>
      <c r="B52" s="120" t="s">
        <v>377</v>
      </c>
      <c r="C52" s="121" t="s">
        <v>53</v>
      </c>
      <c r="D52" s="122" t="str" cm="1">
        <f t="array" aca="1" ref="D52" ca="1">_xlfn.LET(_xlpm.filepath,CELL("filename",D52),MID(_xlpm.filepath,FIND("]",_xlpm.filepath)+1,3))</f>
        <v>005</v>
      </c>
      <c r="E52" s="122">
        <v>15</v>
      </c>
      <c r="F52" s="123" t="str">
        <f t="shared" ref="F52" si="30">"S"&amp;E52&amp;"+"</f>
        <v>S15+</v>
      </c>
      <c r="G52" s="122" t="s">
        <v>54</v>
      </c>
      <c r="H52" s="122" t="s">
        <v>55</v>
      </c>
      <c r="I52" s="214" t="str">
        <f t="shared" ref="I52" si="31">TEXT(E52,"00")&amp;"a"</f>
        <v>15a</v>
      </c>
      <c r="J52" s="122"/>
      <c r="K52" s="122"/>
      <c r="L52" s="214" t="s">
        <v>480</v>
      </c>
      <c r="M52" s="81" t="s">
        <v>490</v>
      </c>
      <c r="N52" s="214" t="str">
        <f ca="1">D52&amp;"/"&amp;F52</f>
        <v>005/S15+</v>
      </c>
      <c r="O52" s="214" t="s">
        <v>487</v>
      </c>
      <c r="P52" s="214">
        <v>13</v>
      </c>
      <c r="Q52" s="124" t="s">
        <v>389</v>
      </c>
      <c r="R52" s="54" t="s">
        <v>674</v>
      </c>
    </row>
    <row r="53" spans="1:20" ht="18" customHeight="1" x14ac:dyDescent="0.25">
      <c r="A53" s="92"/>
      <c r="B53" s="93"/>
      <c r="C53" s="94"/>
      <c r="D53" s="95"/>
      <c r="E53" s="95"/>
      <c r="F53" s="115" t="str">
        <f t="shared" ref="F53" si="32">"AI"&amp;E52&amp;"+"</f>
        <v>AI15+</v>
      </c>
      <c r="G53" s="95"/>
      <c r="H53" s="95"/>
      <c r="I53" s="209" t="str">
        <f t="shared" ref="I53" si="33">TEXT(E52,"00")&amp;"b"</f>
        <v>15b</v>
      </c>
      <c r="J53" s="95"/>
      <c r="K53" s="95"/>
      <c r="L53" s="209" t="s">
        <v>482</v>
      </c>
      <c r="M53" s="99"/>
      <c r="N53" s="209" t="str">
        <f ca="1">D52&amp;"/"&amp;F53</f>
        <v>005/AI15+</v>
      </c>
      <c r="O53" s="209" t="s">
        <v>487</v>
      </c>
      <c r="P53" s="209">
        <v>14</v>
      </c>
      <c r="Q53" s="97"/>
      <c r="R53" s="98"/>
    </row>
    <row r="54" spans="1:20" ht="18" customHeight="1" x14ac:dyDescent="0.25">
      <c r="A54" s="92"/>
      <c r="B54" s="93"/>
      <c r="C54" s="94"/>
      <c r="D54" s="95"/>
      <c r="E54" s="95"/>
      <c r="F54" s="117" t="str">
        <f>"AI"&amp;E52&amp;"-"</f>
        <v>AI15-</v>
      </c>
      <c r="G54" s="95"/>
      <c r="H54" s="95"/>
      <c r="I54" s="210" t="str">
        <f t="shared" ref="I54" si="34">TEXT(E52,"00")&amp;"c"</f>
        <v>15c</v>
      </c>
      <c r="J54" s="95"/>
      <c r="K54" s="95"/>
      <c r="L54" s="210" t="s">
        <v>483</v>
      </c>
      <c r="M54" s="99"/>
      <c r="N54" s="210" t="str">
        <f ca="1">D52&amp;"/"&amp;F54</f>
        <v>005/AI15-</v>
      </c>
      <c r="O54" s="210" t="s">
        <v>487</v>
      </c>
      <c r="P54" s="210">
        <v>15</v>
      </c>
      <c r="Q54" s="97"/>
      <c r="R54" s="67"/>
    </row>
    <row r="55" spans="1:20" ht="18" customHeight="1" x14ac:dyDescent="0.25">
      <c r="A55" s="100" t="s">
        <v>488</v>
      </c>
      <c r="B55" s="101" t="s">
        <v>377</v>
      </c>
      <c r="C55" s="102" t="s">
        <v>53</v>
      </c>
      <c r="D55" s="103" t="str" cm="1">
        <f t="array" aca="1" ref="D55" ca="1">_xlfn.LET(_xlpm.filepath,CELL("filename",D55),MID(_xlpm.filepath,FIND("]",_xlpm.filepath)+1,3))</f>
        <v>005</v>
      </c>
      <c r="E55" s="103">
        <v>16</v>
      </c>
      <c r="F55" s="104" t="str">
        <f t="shared" ref="F55" si="35">"S"&amp;E55&amp;"+"</f>
        <v>S16+</v>
      </c>
      <c r="G55" s="103" t="s">
        <v>54</v>
      </c>
      <c r="H55" s="103" t="s">
        <v>55</v>
      </c>
      <c r="I55" s="63" t="str">
        <f t="shared" ref="I55" si="36">TEXT(E55,"00")&amp;"a"</f>
        <v>16a</v>
      </c>
      <c r="J55" s="103"/>
      <c r="K55" s="103"/>
      <c r="L55" s="63" t="s">
        <v>480</v>
      </c>
      <c r="M55" s="80" t="s">
        <v>490</v>
      </c>
      <c r="N55" s="63" t="str">
        <f ca="1">D55&amp;"/"&amp;F55</f>
        <v>005/S16+</v>
      </c>
      <c r="O55" s="63" t="s">
        <v>487</v>
      </c>
      <c r="P55" s="63">
        <v>16</v>
      </c>
      <c r="Q55" s="103" t="s">
        <v>389</v>
      </c>
      <c r="R55" s="262" t="s">
        <v>674</v>
      </c>
    </row>
    <row r="56" spans="1:20" ht="18" customHeight="1" x14ac:dyDescent="0.25">
      <c r="A56" s="106"/>
      <c r="B56" s="107"/>
      <c r="C56" s="108"/>
      <c r="D56" s="109"/>
      <c r="E56" s="109"/>
      <c r="F56" s="116" t="str">
        <f t="shared" ref="F56" si="37">"AI"&amp;E55&amp;"+"</f>
        <v>AI16+</v>
      </c>
      <c r="G56" s="109"/>
      <c r="H56" s="109"/>
      <c r="I56" s="212" t="str">
        <f t="shared" ref="I56" si="38">TEXT(E55,"00")&amp;"b"</f>
        <v>16b</v>
      </c>
      <c r="J56" s="333"/>
      <c r="K56" s="109"/>
      <c r="L56" s="212" t="s">
        <v>482</v>
      </c>
      <c r="M56" s="112"/>
      <c r="N56" s="212" t="str">
        <f ca="1">D55&amp;"/"&amp;F56</f>
        <v>005/AI16+</v>
      </c>
      <c r="O56" s="212" t="s">
        <v>487</v>
      </c>
      <c r="P56" s="212">
        <v>17</v>
      </c>
      <c r="Q56" s="109"/>
      <c r="R56" s="111"/>
    </row>
    <row r="57" spans="1:20" ht="18" customHeight="1" x14ac:dyDescent="0.25">
      <c r="A57" s="125"/>
      <c r="B57" s="126"/>
      <c r="C57" s="127"/>
      <c r="D57" s="128"/>
      <c r="E57" s="128"/>
      <c r="F57" s="147" t="str">
        <f>"AI"&amp;E55&amp;"-"</f>
        <v>AI16-</v>
      </c>
      <c r="G57" s="128"/>
      <c r="H57" s="128"/>
      <c r="I57" s="213" t="str">
        <f t="shared" ref="I57" si="39">TEXT(E55,"00")&amp;"c"</f>
        <v>16c</v>
      </c>
      <c r="J57" s="334"/>
      <c r="K57" s="128"/>
      <c r="L57" s="213" t="s">
        <v>483</v>
      </c>
      <c r="M57" s="300"/>
      <c r="N57" s="213" t="str">
        <f ca="1">D55&amp;"/"&amp;F57</f>
        <v>005/AI16-</v>
      </c>
      <c r="O57" s="213" t="s">
        <v>487</v>
      </c>
      <c r="P57" s="213">
        <v>18</v>
      </c>
      <c r="Q57" s="128"/>
      <c r="R57" s="130"/>
    </row>
    <row r="58" spans="1:20" ht="18" customHeight="1" x14ac:dyDescent="0.25">
      <c r="A58" s="119" t="str">
        <f ca="1">"SPAI-"&amp;D58&amp;"/"&amp;E58</f>
        <v>SPAI-005/17</v>
      </c>
      <c r="B58" s="120" t="s">
        <v>377</v>
      </c>
      <c r="C58" s="121" t="s">
        <v>53</v>
      </c>
      <c r="D58" s="122" t="str" cm="1">
        <f t="array" aca="1" ref="D58" ca="1">_xlfn.LET(_xlpm.filepath,CELL("filename",D58),MID(_xlpm.filepath,FIND("]",_xlpm.filepath)+1,3))</f>
        <v>005</v>
      </c>
      <c r="E58" s="122">
        <v>17</v>
      </c>
      <c r="F58" s="123" t="str">
        <f t="shared" ref="F58" si="40">"S"&amp;E58&amp;"+"</f>
        <v>S17+</v>
      </c>
      <c r="G58" s="122" t="s">
        <v>54</v>
      </c>
      <c r="H58" s="122" t="s">
        <v>55</v>
      </c>
      <c r="I58" s="214" t="str">
        <f t="shared" ref="I58" si="41">TEXT(E58,"00")&amp;"a"</f>
        <v>17a</v>
      </c>
      <c r="J58" s="122"/>
      <c r="K58" s="122"/>
      <c r="L58" s="214" t="s">
        <v>480</v>
      </c>
      <c r="M58" s="81" t="s">
        <v>490</v>
      </c>
      <c r="N58" s="214" t="str">
        <f ca="1">D58&amp;"/"&amp;F58</f>
        <v>005/S17+</v>
      </c>
      <c r="O58" s="214" t="s">
        <v>487</v>
      </c>
      <c r="P58" s="214">
        <v>19</v>
      </c>
      <c r="Q58" s="124" t="s">
        <v>389</v>
      </c>
      <c r="R58" s="54" t="s">
        <v>674</v>
      </c>
    </row>
    <row r="59" spans="1:20" ht="18" customHeight="1" x14ac:dyDescent="0.25">
      <c r="A59" s="92"/>
      <c r="B59" s="93"/>
      <c r="C59" s="94"/>
      <c r="D59" s="95"/>
      <c r="E59" s="95"/>
      <c r="F59" s="115" t="str">
        <f t="shared" ref="F59" si="42">"AI"&amp;E58&amp;"+"</f>
        <v>AI17+</v>
      </c>
      <c r="G59" s="95"/>
      <c r="H59" s="95"/>
      <c r="I59" s="209" t="str">
        <f t="shared" ref="I59" si="43">TEXT(E58,"00")&amp;"b"</f>
        <v>17b</v>
      </c>
      <c r="J59" s="95"/>
      <c r="K59" s="95"/>
      <c r="L59" s="209" t="s">
        <v>482</v>
      </c>
      <c r="M59" s="99"/>
      <c r="N59" s="209" t="str">
        <f ca="1">D58&amp;"/"&amp;F59</f>
        <v>005/AI17+</v>
      </c>
      <c r="O59" s="209" t="s">
        <v>487</v>
      </c>
      <c r="P59" s="209">
        <v>20</v>
      </c>
      <c r="Q59" s="97"/>
      <c r="R59" s="98"/>
    </row>
    <row r="60" spans="1:20" ht="18" customHeight="1" x14ac:dyDescent="0.25">
      <c r="A60" s="137"/>
      <c r="B60" s="138"/>
      <c r="C60" s="139"/>
      <c r="D60" s="164"/>
      <c r="E60" s="164"/>
      <c r="F60" s="117" t="str">
        <f>"AI"&amp;E58&amp;"-"</f>
        <v>AI17-</v>
      </c>
      <c r="G60" s="164"/>
      <c r="H60" s="164"/>
      <c r="I60" s="210" t="str">
        <f t="shared" ref="I60" si="44">TEXT(E58,"00")&amp;"c"</f>
        <v>17c</v>
      </c>
      <c r="J60" s="164"/>
      <c r="K60" s="164"/>
      <c r="L60" s="210" t="s">
        <v>483</v>
      </c>
      <c r="M60" s="301"/>
      <c r="N60" s="210" t="str">
        <f ca="1">D58&amp;"/"&amp;F60</f>
        <v>005/AI17-</v>
      </c>
      <c r="O60" s="210" t="s">
        <v>487</v>
      </c>
      <c r="P60" s="210">
        <v>21</v>
      </c>
      <c r="Q60" s="142"/>
      <c r="R60" s="57"/>
    </row>
    <row r="61" spans="1:20" ht="18" customHeight="1" x14ac:dyDescent="0.25">
      <c r="A61" s="100" t="str">
        <f ca="1">"SPAI-"&amp;D61&amp;"/"&amp;E61</f>
        <v>SPAI-005/18</v>
      </c>
      <c r="B61" s="101" t="s">
        <v>377</v>
      </c>
      <c r="C61" s="102" t="s">
        <v>53</v>
      </c>
      <c r="D61" s="103" t="str" cm="1">
        <f t="array" aca="1" ref="D61" ca="1">_xlfn.LET(_xlpm.filepath,CELL("filename",D61),MID(_xlpm.filepath,FIND("]",_xlpm.filepath)+1,3))</f>
        <v>005</v>
      </c>
      <c r="E61" s="103">
        <v>18</v>
      </c>
      <c r="F61" s="104" t="str">
        <f t="shared" ref="F61" si="45">"S"&amp;E61&amp;"+"</f>
        <v>S18+</v>
      </c>
      <c r="G61" s="103" t="s">
        <v>54</v>
      </c>
      <c r="H61" s="103" t="s">
        <v>55</v>
      </c>
      <c r="I61" s="63" t="str">
        <f t="shared" ref="I61" si="46">TEXT(E61,"00")&amp;"a"</f>
        <v>18a</v>
      </c>
      <c r="J61" s="103"/>
      <c r="K61" s="103"/>
      <c r="L61" s="63" t="s">
        <v>480</v>
      </c>
      <c r="M61" s="80" t="s">
        <v>490</v>
      </c>
      <c r="N61" s="63" t="str">
        <f ca="1">D61&amp;"/"&amp;F61</f>
        <v>005/S18+</v>
      </c>
      <c r="O61" s="63" t="s">
        <v>487</v>
      </c>
      <c r="P61" s="63">
        <v>22</v>
      </c>
      <c r="Q61" s="103" t="s">
        <v>389</v>
      </c>
      <c r="R61" s="262" t="s">
        <v>674</v>
      </c>
    </row>
    <row r="62" spans="1:20" ht="18" customHeight="1" x14ac:dyDescent="0.25">
      <c r="A62" s="106"/>
      <c r="B62" s="107"/>
      <c r="C62" s="108"/>
      <c r="D62" s="109"/>
      <c r="E62" s="109"/>
      <c r="F62" s="116" t="str">
        <f t="shared" ref="F62" si="47">"AI"&amp;E61&amp;"+"</f>
        <v>AI18+</v>
      </c>
      <c r="G62" s="109"/>
      <c r="H62" s="109"/>
      <c r="I62" s="212" t="str">
        <f t="shared" ref="I62" si="48">TEXT(E61,"00")&amp;"b"</f>
        <v>18b</v>
      </c>
      <c r="J62" s="333"/>
      <c r="K62" s="109"/>
      <c r="L62" s="212" t="s">
        <v>482</v>
      </c>
      <c r="M62" s="112"/>
      <c r="N62" s="212" t="str">
        <f ca="1">D61&amp;"/"&amp;F62</f>
        <v>005/AI18+</v>
      </c>
      <c r="O62" s="212" t="s">
        <v>487</v>
      </c>
      <c r="P62" s="212">
        <v>23</v>
      </c>
      <c r="Q62" s="109"/>
      <c r="R62" s="111"/>
    </row>
    <row r="63" spans="1:20" ht="18" customHeight="1" x14ac:dyDescent="0.25">
      <c r="A63" s="106"/>
      <c r="B63" s="107"/>
      <c r="C63" s="108"/>
      <c r="D63" s="109"/>
      <c r="E63" s="109"/>
      <c r="F63" s="110" t="str">
        <f>"AI"&amp;E61&amp;"-"</f>
        <v>AI18-</v>
      </c>
      <c r="G63" s="109"/>
      <c r="H63" s="109"/>
      <c r="I63" s="213" t="str">
        <f t="shared" ref="I63" si="49">TEXT(E61,"00")&amp;"c"</f>
        <v>18c</v>
      </c>
      <c r="J63" s="333"/>
      <c r="K63" s="109"/>
      <c r="L63" s="213" t="s">
        <v>483</v>
      </c>
      <c r="M63" s="112"/>
      <c r="N63" s="213" t="str">
        <f ca="1">D61&amp;"/"&amp;F63</f>
        <v>005/AI18-</v>
      </c>
      <c r="O63" s="213" t="s">
        <v>487</v>
      </c>
      <c r="P63" s="213">
        <v>24</v>
      </c>
      <c r="Q63" s="109"/>
      <c r="R63" s="111"/>
    </row>
    <row r="64" spans="1:20" ht="18" customHeight="1" x14ac:dyDescent="0.25">
      <c r="A64" s="119" t="str">
        <f t="shared" ref="A64" ca="1" si="50">"SPAI-"&amp;D64&amp;"/"&amp;E64</f>
        <v>SPAI-005/19</v>
      </c>
      <c r="B64" s="120" t="s">
        <v>377</v>
      </c>
      <c r="C64" s="121" t="s">
        <v>53</v>
      </c>
      <c r="D64" s="122" t="str" cm="1">
        <f t="array" aca="1" ref="D64" ca="1">_xlfn.LET(_xlpm.filepath,CELL("filename",D64),MID(_xlpm.filepath,FIND("]",_xlpm.filepath)+1,3))</f>
        <v>005</v>
      </c>
      <c r="E64" s="122">
        <v>19</v>
      </c>
      <c r="F64" s="123" t="str">
        <f t="shared" ref="F64" si="51">"S"&amp;E64&amp;"+"</f>
        <v>S19+</v>
      </c>
      <c r="G64" s="122" t="s">
        <v>54</v>
      </c>
      <c r="H64" s="122" t="s">
        <v>55</v>
      </c>
      <c r="I64" s="214" t="str">
        <f t="shared" ref="I64" si="52">TEXT(E64,"00")&amp;"a"</f>
        <v>19a</v>
      </c>
      <c r="J64" s="122"/>
      <c r="K64" s="122"/>
      <c r="L64" s="214" t="s">
        <v>480</v>
      </c>
      <c r="M64" s="81" t="s">
        <v>490</v>
      </c>
      <c r="N64" s="214" t="str">
        <f ca="1">D64&amp;"/"&amp;F64</f>
        <v>005/S19+</v>
      </c>
      <c r="O64" s="214" t="s">
        <v>487</v>
      </c>
      <c r="P64" s="214">
        <v>25</v>
      </c>
      <c r="Q64" s="124" t="s">
        <v>389</v>
      </c>
      <c r="R64" s="54" t="s">
        <v>674</v>
      </c>
    </row>
    <row r="65" spans="1:18" ht="18" customHeight="1" x14ac:dyDescent="0.25">
      <c r="A65" s="92"/>
      <c r="B65" s="93"/>
      <c r="C65" s="94"/>
      <c r="D65" s="95"/>
      <c r="E65" s="95"/>
      <c r="F65" s="115" t="str">
        <f t="shared" ref="F65" si="53">"AI"&amp;E64&amp;"+"</f>
        <v>AI19+</v>
      </c>
      <c r="G65" s="95"/>
      <c r="H65" s="95"/>
      <c r="I65" s="209" t="str">
        <f t="shared" ref="I65" si="54">TEXT(E64,"00")&amp;"b"</f>
        <v>19b</v>
      </c>
      <c r="J65" s="95"/>
      <c r="K65" s="95"/>
      <c r="L65" s="209" t="s">
        <v>482</v>
      </c>
      <c r="M65" s="99"/>
      <c r="N65" s="209" t="str">
        <f ca="1">D64&amp;"/"&amp;F65</f>
        <v>005/AI19+</v>
      </c>
      <c r="O65" s="209" t="s">
        <v>487</v>
      </c>
      <c r="P65" s="209">
        <v>26</v>
      </c>
      <c r="Q65" s="97"/>
      <c r="R65" s="98"/>
    </row>
    <row r="66" spans="1:18" ht="18" customHeight="1" x14ac:dyDescent="0.25">
      <c r="A66" s="92"/>
      <c r="B66" s="93"/>
      <c r="C66" s="94"/>
      <c r="D66" s="95"/>
      <c r="E66" s="95"/>
      <c r="F66" s="117" t="str">
        <f>"AI"&amp;E64&amp;"-"</f>
        <v>AI19-</v>
      </c>
      <c r="G66" s="95"/>
      <c r="H66" s="95"/>
      <c r="I66" s="210" t="str">
        <f t="shared" ref="I66" si="55">TEXT(E64,"00")&amp;"c"</f>
        <v>19c</v>
      </c>
      <c r="J66" s="95"/>
      <c r="K66" s="95"/>
      <c r="L66" s="210" t="s">
        <v>483</v>
      </c>
      <c r="M66" s="99"/>
      <c r="N66" s="210" t="str">
        <f ca="1">D64&amp;"/"&amp;F66</f>
        <v>005/AI19-</v>
      </c>
      <c r="O66" s="210" t="s">
        <v>487</v>
      </c>
      <c r="P66" s="210">
        <v>27</v>
      </c>
      <c r="Q66" s="97"/>
      <c r="R66" s="67"/>
    </row>
    <row r="67" spans="1:18" ht="18" customHeight="1" x14ac:dyDescent="0.25">
      <c r="A67" s="100" t="str">
        <f t="shared" ref="A67" ca="1" si="56">"SPAI-"&amp;D67&amp;"/"&amp;E67</f>
        <v>SPAI-005/20</v>
      </c>
      <c r="B67" s="101" t="s">
        <v>377</v>
      </c>
      <c r="C67" s="102" t="s">
        <v>53</v>
      </c>
      <c r="D67" s="103" t="str" cm="1">
        <f t="array" aca="1" ref="D67" ca="1">_xlfn.LET(_xlpm.filepath,CELL("filename",D67),MID(_xlpm.filepath,FIND("]",_xlpm.filepath)+1,3))</f>
        <v>005</v>
      </c>
      <c r="E67" s="103">
        <v>20</v>
      </c>
      <c r="F67" s="104" t="str">
        <f t="shared" ref="F67" si="57">"S"&amp;E67&amp;"+"</f>
        <v>S20+</v>
      </c>
      <c r="G67" s="103" t="s">
        <v>54</v>
      </c>
      <c r="H67" s="103" t="s">
        <v>55</v>
      </c>
      <c r="I67" s="63" t="str">
        <f t="shared" ref="I67" si="58">TEXT(E67,"00")&amp;"a"</f>
        <v>20a</v>
      </c>
      <c r="J67" s="103"/>
      <c r="K67" s="103"/>
      <c r="L67" s="63" t="s">
        <v>480</v>
      </c>
      <c r="M67" s="80" t="s">
        <v>490</v>
      </c>
      <c r="N67" s="63" t="str">
        <f ca="1">D67&amp;"/"&amp;F67</f>
        <v>005/S20+</v>
      </c>
      <c r="O67" s="63" t="s">
        <v>487</v>
      </c>
      <c r="P67" s="63">
        <v>28</v>
      </c>
      <c r="Q67" s="103" t="s">
        <v>389</v>
      </c>
      <c r="R67" s="262" t="s">
        <v>674</v>
      </c>
    </row>
    <row r="68" spans="1:18" ht="18" customHeight="1" x14ac:dyDescent="0.25">
      <c r="A68" s="106"/>
      <c r="B68" s="107"/>
      <c r="C68" s="108"/>
      <c r="D68" s="109"/>
      <c r="E68" s="109"/>
      <c r="F68" s="116" t="str">
        <f t="shared" ref="F68" si="59">"AI"&amp;E67&amp;"+"</f>
        <v>AI20+</v>
      </c>
      <c r="G68" s="109"/>
      <c r="H68" s="109"/>
      <c r="I68" s="212" t="str">
        <f t="shared" ref="I68" si="60">TEXT(E67,"00")&amp;"b"</f>
        <v>20b</v>
      </c>
      <c r="J68" s="333"/>
      <c r="K68" s="109"/>
      <c r="L68" s="212" t="s">
        <v>482</v>
      </c>
      <c r="M68" s="112"/>
      <c r="N68" s="212" t="str">
        <f ca="1">D67&amp;"/"&amp;F68</f>
        <v>005/AI20+</v>
      </c>
      <c r="O68" s="212" t="s">
        <v>487</v>
      </c>
      <c r="P68" s="212">
        <v>29</v>
      </c>
      <c r="Q68" s="109"/>
      <c r="R68" s="111"/>
    </row>
    <row r="69" spans="1:18" ht="18" customHeight="1" x14ac:dyDescent="0.25">
      <c r="A69" s="106"/>
      <c r="B69" s="107"/>
      <c r="C69" s="108"/>
      <c r="D69" s="109"/>
      <c r="E69" s="109"/>
      <c r="F69" s="110" t="str">
        <f>"AI"&amp;E67&amp;"-"</f>
        <v>AI20-</v>
      </c>
      <c r="G69" s="109"/>
      <c r="H69" s="109"/>
      <c r="I69" s="213" t="str">
        <f t="shared" ref="I69" si="61">TEXT(E67,"00")&amp;"c"</f>
        <v>20c</v>
      </c>
      <c r="J69" s="333"/>
      <c r="K69" s="109"/>
      <c r="L69" s="213" t="s">
        <v>483</v>
      </c>
      <c r="M69" s="112"/>
      <c r="N69" s="213" t="str">
        <f ca="1">D67&amp;"/"&amp;F69</f>
        <v>005/AI20-</v>
      </c>
      <c r="O69" s="213" t="s">
        <v>487</v>
      </c>
      <c r="P69" s="213">
        <v>30</v>
      </c>
      <c r="Q69" s="109"/>
      <c r="R69" s="111"/>
    </row>
    <row r="70" spans="1:18" ht="18" customHeight="1" x14ac:dyDescent="0.25">
      <c r="A70" s="119" t="str">
        <f t="shared" ref="A70" ca="1" si="62">"SPAI-"&amp;D70&amp;"/"&amp;E70</f>
        <v>SPAI-005/21</v>
      </c>
      <c r="B70" s="120" t="s">
        <v>377</v>
      </c>
      <c r="C70" s="121" t="s">
        <v>53</v>
      </c>
      <c r="D70" s="122" t="str" cm="1">
        <f t="array" aca="1" ref="D70" ca="1">_xlfn.LET(_xlpm.filepath,CELL("filename",D70),MID(_xlpm.filepath,FIND("]",_xlpm.filepath)+1,3))</f>
        <v>005</v>
      </c>
      <c r="E70" s="122">
        <v>21</v>
      </c>
      <c r="F70" s="123" t="str">
        <f t="shared" ref="F70" si="63">"S"&amp;E70&amp;"+"</f>
        <v>S21+</v>
      </c>
      <c r="G70" s="122" t="s">
        <v>54</v>
      </c>
      <c r="H70" s="122" t="s">
        <v>55</v>
      </c>
      <c r="I70" s="214" t="str">
        <f t="shared" ref="I70" si="64">TEXT(E70,"00")&amp;"a"</f>
        <v>21a</v>
      </c>
      <c r="J70" s="122"/>
      <c r="K70" s="122"/>
      <c r="L70" s="214" t="s">
        <v>480</v>
      </c>
      <c r="M70" s="81" t="s">
        <v>490</v>
      </c>
      <c r="N70" s="214" t="str">
        <f ca="1">D70&amp;"/"&amp;F70</f>
        <v>005/S21+</v>
      </c>
      <c r="O70" s="214" t="s">
        <v>487</v>
      </c>
      <c r="P70" s="214">
        <v>31</v>
      </c>
      <c r="Q70" s="124" t="s">
        <v>389</v>
      </c>
      <c r="R70" s="54" t="s">
        <v>674</v>
      </c>
    </row>
    <row r="71" spans="1:18" ht="18" customHeight="1" x14ac:dyDescent="0.25">
      <c r="A71" s="92"/>
      <c r="B71" s="93"/>
      <c r="C71" s="94"/>
      <c r="D71" s="95"/>
      <c r="E71" s="95"/>
      <c r="F71" s="115" t="str">
        <f t="shared" ref="F71" si="65">"AI"&amp;E70&amp;"+"</f>
        <v>AI21+</v>
      </c>
      <c r="G71" s="95"/>
      <c r="H71" s="95"/>
      <c r="I71" s="209" t="str">
        <f t="shared" ref="I71" si="66">TEXT(E70,"00")&amp;"b"</f>
        <v>21b</v>
      </c>
      <c r="J71" s="95"/>
      <c r="K71" s="95"/>
      <c r="L71" s="209" t="s">
        <v>482</v>
      </c>
      <c r="M71" s="99"/>
      <c r="N71" s="209" t="str">
        <f ca="1">D70&amp;"/"&amp;F71</f>
        <v>005/AI21+</v>
      </c>
      <c r="O71" s="209" t="s">
        <v>487</v>
      </c>
      <c r="P71" s="209">
        <v>32</v>
      </c>
      <c r="Q71" s="97"/>
      <c r="R71" s="98"/>
    </row>
    <row r="72" spans="1:18" ht="18" customHeight="1" x14ac:dyDescent="0.25">
      <c r="A72" s="92"/>
      <c r="B72" s="93"/>
      <c r="C72" s="94"/>
      <c r="D72" s="95"/>
      <c r="E72" s="95"/>
      <c r="F72" s="117" t="str">
        <f>"AI"&amp;E70&amp;"-"</f>
        <v>AI21-</v>
      </c>
      <c r="G72" s="95"/>
      <c r="H72" s="95"/>
      <c r="I72" s="210" t="str">
        <f t="shared" ref="I72" si="67">TEXT(E70,"00")&amp;"c"</f>
        <v>21c</v>
      </c>
      <c r="J72" s="95"/>
      <c r="K72" s="95"/>
      <c r="L72" s="210" t="s">
        <v>483</v>
      </c>
      <c r="M72" s="99"/>
      <c r="N72" s="210" t="str">
        <f ca="1">D70&amp;"/"&amp;F72</f>
        <v>005/AI21-</v>
      </c>
      <c r="O72" s="210" t="s">
        <v>487</v>
      </c>
      <c r="P72" s="210">
        <v>33</v>
      </c>
      <c r="Q72" s="97"/>
      <c r="R72" s="67"/>
    </row>
    <row r="73" spans="1:18" ht="18" customHeight="1" x14ac:dyDescent="0.25">
      <c r="A73" s="100" t="str">
        <f t="shared" ref="A73" ca="1" si="68">"SPAI-"&amp;D73&amp;"/"&amp;E73</f>
        <v>SPAI-005/22</v>
      </c>
      <c r="B73" s="101" t="s">
        <v>377</v>
      </c>
      <c r="C73" s="102" t="s">
        <v>53</v>
      </c>
      <c r="D73" s="103" t="str" cm="1">
        <f t="array" aca="1" ref="D73" ca="1">_xlfn.LET(_xlpm.filepath,CELL("filename",D73),MID(_xlpm.filepath,FIND("]",_xlpm.filepath)+1,3))</f>
        <v>005</v>
      </c>
      <c r="E73" s="103">
        <v>22</v>
      </c>
      <c r="F73" s="104" t="str">
        <f t="shared" ref="F73" si="69">"S"&amp;E73&amp;"+"</f>
        <v>S22+</v>
      </c>
      <c r="G73" s="103" t="s">
        <v>54</v>
      </c>
      <c r="H73" s="103" t="s">
        <v>55</v>
      </c>
      <c r="I73" s="63" t="str">
        <f t="shared" ref="I73" si="70">TEXT(E73,"00")&amp;"a"</f>
        <v>22a</v>
      </c>
      <c r="J73" s="103"/>
      <c r="K73" s="103"/>
      <c r="L73" s="63" t="s">
        <v>480</v>
      </c>
      <c r="M73" s="80" t="s">
        <v>490</v>
      </c>
      <c r="N73" s="63" t="str">
        <f ca="1">D73&amp;"/"&amp;F73</f>
        <v>005/S22+</v>
      </c>
      <c r="O73" s="63" t="s">
        <v>487</v>
      </c>
      <c r="P73" s="63">
        <v>34</v>
      </c>
      <c r="Q73" s="103" t="s">
        <v>389</v>
      </c>
      <c r="R73" s="262" t="s">
        <v>674</v>
      </c>
    </row>
    <row r="74" spans="1:18" ht="18" customHeight="1" x14ac:dyDescent="0.25">
      <c r="A74" s="106"/>
      <c r="B74" s="107"/>
      <c r="C74" s="108"/>
      <c r="D74" s="109"/>
      <c r="E74" s="109"/>
      <c r="F74" s="116" t="str">
        <f t="shared" ref="F74" si="71">"AI"&amp;E73&amp;"+"</f>
        <v>AI22+</v>
      </c>
      <c r="G74" s="109"/>
      <c r="H74" s="109"/>
      <c r="I74" s="212" t="str">
        <f t="shared" ref="I74" si="72">TEXT(E73,"00")&amp;"b"</f>
        <v>22b</v>
      </c>
      <c r="J74" s="333"/>
      <c r="K74" s="109"/>
      <c r="L74" s="212" t="s">
        <v>482</v>
      </c>
      <c r="M74" s="112"/>
      <c r="N74" s="212" t="str">
        <f ca="1">D73&amp;"/"&amp;F74</f>
        <v>005/AI22+</v>
      </c>
      <c r="O74" s="212" t="s">
        <v>487</v>
      </c>
      <c r="P74" s="212">
        <v>35</v>
      </c>
      <c r="Q74" s="109"/>
      <c r="R74" s="111"/>
    </row>
    <row r="75" spans="1:18" ht="18" customHeight="1" x14ac:dyDescent="0.25">
      <c r="A75" s="106"/>
      <c r="B75" s="107"/>
      <c r="C75" s="108"/>
      <c r="D75" s="109"/>
      <c r="E75" s="109"/>
      <c r="F75" s="110" t="str">
        <f>"AI"&amp;E73&amp;"-"</f>
        <v>AI22-</v>
      </c>
      <c r="G75" s="109"/>
      <c r="H75" s="109"/>
      <c r="I75" s="213" t="str">
        <f t="shared" ref="I75" si="73">TEXT(E73,"00")&amp;"c"</f>
        <v>22c</v>
      </c>
      <c r="J75" s="333"/>
      <c r="K75" s="109"/>
      <c r="L75" s="213" t="s">
        <v>483</v>
      </c>
      <c r="M75" s="112"/>
      <c r="N75" s="213" t="str">
        <f ca="1">D73&amp;"/"&amp;F75</f>
        <v>005/AI22-</v>
      </c>
      <c r="O75" s="213" t="s">
        <v>487</v>
      </c>
      <c r="P75" s="213">
        <v>36</v>
      </c>
      <c r="Q75" s="109"/>
      <c r="R75" s="111"/>
    </row>
    <row r="76" spans="1:18" ht="18" customHeight="1" x14ac:dyDescent="0.25">
      <c r="A76" s="119" t="str">
        <f t="shared" ref="A76" ca="1" si="74">"SPAI-"&amp;D76&amp;"/"&amp;E76</f>
        <v>SPAI-005/23</v>
      </c>
      <c r="B76" s="120" t="s">
        <v>377</v>
      </c>
      <c r="C76" s="121" t="s">
        <v>53</v>
      </c>
      <c r="D76" s="122" t="str" cm="1">
        <f t="array" aca="1" ref="D76" ca="1">_xlfn.LET(_xlpm.filepath,CELL("filename",D76),MID(_xlpm.filepath,FIND("]",_xlpm.filepath)+1,3))</f>
        <v>005</v>
      </c>
      <c r="E76" s="122">
        <v>23</v>
      </c>
      <c r="F76" s="123" t="str">
        <f t="shared" ref="F76" si="75">"S"&amp;E76&amp;"+"</f>
        <v>S23+</v>
      </c>
      <c r="G76" s="122" t="s">
        <v>54</v>
      </c>
      <c r="H76" s="122" t="s">
        <v>55</v>
      </c>
      <c r="I76" s="214" t="str">
        <f t="shared" ref="I76" si="76">TEXT(E76,"00")&amp;"a"</f>
        <v>23a</v>
      </c>
      <c r="J76" s="122"/>
      <c r="K76" s="122"/>
      <c r="L76" s="214" t="s">
        <v>480</v>
      </c>
      <c r="M76" s="81" t="s">
        <v>490</v>
      </c>
      <c r="N76" s="214" t="str">
        <f ca="1">D76&amp;"/"&amp;F76</f>
        <v>005/S23+</v>
      </c>
      <c r="O76" s="214" t="s">
        <v>487</v>
      </c>
      <c r="P76" s="214">
        <v>37</v>
      </c>
      <c r="Q76" s="124" t="s">
        <v>389</v>
      </c>
      <c r="R76" s="54" t="s">
        <v>674</v>
      </c>
    </row>
    <row r="77" spans="1:18" ht="18" customHeight="1" x14ac:dyDescent="0.25">
      <c r="A77" s="92"/>
      <c r="B77" s="93"/>
      <c r="C77" s="94"/>
      <c r="D77" s="95"/>
      <c r="E77" s="95"/>
      <c r="F77" s="115" t="str">
        <f t="shared" ref="F77" si="77">"AI"&amp;E76&amp;"+"</f>
        <v>AI23+</v>
      </c>
      <c r="G77" s="95"/>
      <c r="H77" s="95"/>
      <c r="I77" s="209" t="str">
        <f t="shared" ref="I77" si="78">TEXT(E76,"00")&amp;"b"</f>
        <v>23b</v>
      </c>
      <c r="J77" s="95"/>
      <c r="K77" s="95"/>
      <c r="L77" s="209" t="s">
        <v>482</v>
      </c>
      <c r="M77" s="99"/>
      <c r="N77" s="209" t="str">
        <f ca="1">D76&amp;"/"&amp;F77</f>
        <v>005/AI23+</v>
      </c>
      <c r="O77" s="209" t="s">
        <v>487</v>
      </c>
      <c r="P77" s="209">
        <v>38</v>
      </c>
      <c r="Q77" s="97"/>
      <c r="R77" s="98"/>
    </row>
    <row r="78" spans="1:18" ht="18" customHeight="1" x14ac:dyDescent="0.25">
      <c r="A78" s="92"/>
      <c r="B78" s="93"/>
      <c r="C78" s="94"/>
      <c r="D78" s="95"/>
      <c r="E78" s="95"/>
      <c r="F78" s="117" t="str">
        <f>"AI"&amp;E76&amp;"-"</f>
        <v>AI23-</v>
      </c>
      <c r="G78" s="95"/>
      <c r="H78" s="95"/>
      <c r="I78" s="210" t="str">
        <f t="shared" ref="I78" si="79">TEXT(E76,"00")&amp;"c"</f>
        <v>23c</v>
      </c>
      <c r="J78" s="95"/>
      <c r="K78" s="95"/>
      <c r="L78" s="210" t="s">
        <v>483</v>
      </c>
      <c r="M78" s="99"/>
      <c r="N78" s="210" t="str">
        <f ca="1">D76&amp;"/"&amp;F78</f>
        <v>005/AI23-</v>
      </c>
      <c r="O78" s="210" t="s">
        <v>487</v>
      </c>
      <c r="P78" s="210">
        <v>39</v>
      </c>
      <c r="Q78" s="97"/>
      <c r="R78" s="67"/>
    </row>
    <row r="79" spans="1:18" ht="18" customHeight="1" x14ac:dyDescent="0.25">
      <c r="A79" s="100" t="str">
        <f t="shared" ref="A79" ca="1" si="80">"SPAI-"&amp;D79&amp;"/"&amp;E79</f>
        <v>SPAI-005/24</v>
      </c>
      <c r="B79" s="101" t="s">
        <v>377</v>
      </c>
      <c r="C79" s="102" t="s">
        <v>53</v>
      </c>
      <c r="D79" s="103" t="str" cm="1">
        <f t="array" aca="1" ref="D79" ca="1">_xlfn.LET(_xlpm.filepath,CELL("filename",D79),MID(_xlpm.filepath,FIND("]",_xlpm.filepath)+1,3))</f>
        <v>005</v>
      </c>
      <c r="E79" s="103">
        <v>24</v>
      </c>
      <c r="F79" s="104" t="str">
        <f t="shared" ref="F79" si="81">"S"&amp;E79&amp;"+"</f>
        <v>S24+</v>
      </c>
      <c r="G79" s="103" t="s">
        <v>54</v>
      </c>
      <c r="H79" s="103" t="s">
        <v>55</v>
      </c>
      <c r="I79" s="63" t="str">
        <f t="shared" ref="I79" si="82">TEXT(E79,"00")&amp;"a"</f>
        <v>24a</v>
      </c>
      <c r="J79" s="103"/>
      <c r="K79" s="103"/>
      <c r="L79" s="63" t="s">
        <v>480</v>
      </c>
      <c r="M79" s="80" t="s">
        <v>490</v>
      </c>
      <c r="N79" s="63" t="str">
        <f ca="1">D79&amp;"/"&amp;F79</f>
        <v>005/S24+</v>
      </c>
      <c r="O79" s="63" t="s">
        <v>487</v>
      </c>
      <c r="P79" s="63">
        <v>40</v>
      </c>
      <c r="Q79" s="103" t="s">
        <v>389</v>
      </c>
      <c r="R79" s="262" t="s">
        <v>674</v>
      </c>
    </row>
    <row r="80" spans="1:18" ht="18" customHeight="1" x14ac:dyDescent="0.25">
      <c r="A80" s="106"/>
      <c r="B80" s="107"/>
      <c r="C80" s="108"/>
      <c r="D80" s="109"/>
      <c r="E80" s="109"/>
      <c r="F80" s="116" t="str">
        <f t="shared" ref="F80" si="83">"AI"&amp;E79&amp;"+"</f>
        <v>AI24+</v>
      </c>
      <c r="G80" s="109"/>
      <c r="H80" s="109"/>
      <c r="I80" s="212" t="str">
        <f t="shared" ref="I80" si="84">TEXT(E79,"00")&amp;"b"</f>
        <v>24b</v>
      </c>
      <c r="J80" s="333"/>
      <c r="K80" s="109"/>
      <c r="L80" s="212" t="s">
        <v>482</v>
      </c>
      <c r="M80" s="112"/>
      <c r="N80" s="212" t="str">
        <f ca="1">D79&amp;"/"&amp;F80</f>
        <v>005/AI24+</v>
      </c>
      <c r="O80" s="212" t="s">
        <v>487</v>
      </c>
      <c r="P80" s="212">
        <v>41</v>
      </c>
      <c r="Q80" s="109"/>
      <c r="R80" s="111"/>
    </row>
    <row r="81" spans="1:18" ht="18" customHeight="1" x14ac:dyDescent="0.25">
      <c r="A81" s="106"/>
      <c r="B81" s="107"/>
      <c r="C81" s="108"/>
      <c r="D81" s="109"/>
      <c r="E81" s="109"/>
      <c r="F81" s="110" t="str">
        <f>"AI"&amp;E79&amp;"-"</f>
        <v>AI24-</v>
      </c>
      <c r="G81" s="109"/>
      <c r="H81" s="109"/>
      <c r="I81" s="213" t="str">
        <f t="shared" ref="I81" si="85">TEXT(E79,"00")&amp;"c"</f>
        <v>24c</v>
      </c>
      <c r="J81" s="333"/>
      <c r="K81" s="109"/>
      <c r="L81" s="213" t="s">
        <v>483</v>
      </c>
      <c r="M81" s="112"/>
      <c r="N81" s="213" t="str">
        <f ca="1">D79&amp;"/"&amp;F81</f>
        <v>005/AI24-</v>
      </c>
      <c r="O81" s="213" t="s">
        <v>487</v>
      </c>
      <c r="P81" s="213">
        <v>42</v>
      </c>
      <c r="Q81" s="109"/>
      <c r="R81" s="111"/>
    </row>
    <row r="82" spans="1:18" ht="18" customHeight="1" x14ac:dyDescent="0.25">
      <c r="A82" s="119" t="str">
        <f t="shared" ref="A82" ca="1" si="86">"SPAI-"&amp;D82&amp;"/"&amp;E82</f>
        <v>SPAI-005/25</v>
      </c>
      <c r="B82" s="120" t="s">
        <v>377</v>
      </c>
      <c r="C82" s="121" t="s">
        <v>53</v>
      </c>
      <c r="D82" s="122" t="str" cm="1">
        <f t="array" aca="1" ref="D82" ca="1">_xlfn.LET(_xlpm.filepath,CELL("filename",D82),MID(_xlpm.filepath,FIND("]",_xlpm.filepath)+1,3))</f>
        <v>005</v>
      </c>
      <c r="E82" s="122">
        <v>25</v>
      </c>
      <c r="F82" s="123" t="str">
        <f t="shared" ref="F82" si="87">"S"&amp;E82&amp;"+"</f>
        <v>S25+</v>
      </c>
      <c r="G82" s="122" t="s">
        <v>54</v>
      </c>
      <c r="H82" s="122" t="s">
        <v>55</v>
      </c>
      <c r="I82" s="214" t="str">
        <f t="shared" ref="I82" si="88">TEXT(E82,"00")&amp;"a"</f>
        <v>25a</v>
      </c>
      <c r="J82" s="122"/>
      <c r="K82" s="122"/>
      <c r="L82" s="214" t="s">
        <v>480</v>
      </c>
      <c r="M82" s="81" t="s">
        <v>490</v>
      </c>
      <c r="N82" s="214" t="str">
        <f ca="1">D82&amp;"/"&amp;F82</f>
        <v>005/S25+</v>
      </c>
      <c r="O82" s="214" t="s">
        <v>487</v>
      </c>
      <c r="P82" s="214">
        <v>43</v>
      </c>
      <c r="Q82" s="124" t="s">
        <v>389</v>
      </c>
      <c r="R82" s="54" t="s">
        <v>674</v>
      </c>
    </row>
    <row r="83" spans="1:18" ht="18" customHeight="1" x14ac:dyDescent="0.25">
      <c r="A83" s="92"/>
      <c r="B83" s="93"/>
      <c r="C83" s="94"/>
      <c r="D83" s="95"/>
      <c r="E83" s="95"/>
      <c r="F83" s="115" t="str">
        <f t="shared" ref="F83" si="89">"AI"&amp;E82&amp;"+"</f>
        <v>AI25+</v>
      </c>
      <c r="G83" s="95"/>
      <c r="H83" s="95"/>
      <c r="I83" s="209" t="str">
        <f t="shared" ref="I83" si="90">TEXT(E82,"00")&amp;"b"</f>
        <v>25b</v>
      </c>
      <c r="J83" s="95"/>
      <c r="K83" s="95"/>
      <c r="L83" s="209" t="s">
        <v>482</v>
      </c>
      <c r="M83" s="99"/>
      <c r="N83" s="209" t="str">
        <f ca="1">D82&amp;"/"&amp;F83</f>
        <v>005/AI25+</v>
      </c>
      <c r="O83" s="209" t="s">
        <v>487</v>
      </c>
      <c r="P83" s="209">
        <v>44</v>
      </c>
      <c r="Q83" s="97"/>
      <c r="R83" s="98"/>
    </row>
    <row r="84" spans="1:18" ht="18" customHeight="1" x14ac:dyDescent="0.25">
      <c r="A84" s="92"/>
      <c r="B84" s="93"/>
      <c r="C84" s="94"/>
      <c r="D84" s="95"/>
      <c r="E84" s="95"/>
      <c r="F84" s="117" t="str">
        <f>"AI"&amp;E82&amp;"-"</f>
        <v>AI25-</v>
      </c>
      <c r="G84" s="95"/>
      <c r="H84" s="95"/>
      <c r="I84" s="210" t="str">
        <f t="shared" ref="I84" si="91">TEXT(E82,"00")&amp;"c"</f>
        <v>25c</v>
      </c>
      <c r="J84" s="95"/>
      <c r="K84" s="95"/>
      <c r="L84" s="210" t="s">
        <v>483</v>
      </c>
      <c r="M84" s="99"/>
      <c r="N84" s="210" t="str">
        <f ca="1">D82&amp;"/"&amp;F84</f>
        <v>005/AI25-</v>
      </c>
      <c r="O84" s="210" t="s">
        <v>487</v>
      </c>
      <c r="P84" s="210">
        <v>45</v>
      </c>
      <c r="Q84" s="97"/>
      <c r="R84" s="67"/>
    </row>
    <row r="85" spans="1:18" ht="18" customHeight="1" x14ac:dyDescent="0.25">
      <c r="A85" s="100" t="str">
        <f t="shared" ref="A85" ca="1" si="92">"SPAI-"&amp;D85&amp;"/"&amp;E85</f>
        <v>SPAI-005/26</v>
      </c>
      <c r="B85" s="101" t="s">
        <v>377</v>
      </c>
      <c r="C85" s="102" t="s">
        <v>53</v>
      </c>
      <c r="D85" s="103" t="str" cm="1">
        <f t="array" aca="1" ref="D85" ca="1">_xlfn.LET(_xlpm.filepath,CELL("filename",D85),MID(_xlpm.filepath,FIND("]",_xlpm.filepath)+1,3))</f>
        <v>005</v>
      </c>
      <c r="E85" s="103">
        <v>26</v>
      </c>
      <c r="F85" s="104" t="str">
        <f t="shared" ref="F85" si="93">"S"&amp;E85&amp;"+"</f>
        <v>S26+</v>
      </c>
      <c r="G85" s="103" t="s">
        <v>54</v>
      </c>
      <c r="H85" s="103" t="s">
        <v>55</v>
      </c>
      <c r="I85" s="63" t="str">
        <f t="shared" ref="I85" si="94">TEXT(E85,"00")&amp;"a"</f>
        <v>26a</v>
      </c>
      <c r="J85" s="103"/>
      <c r="K85" s="103"/>
      <c r="L85" s="63" t="s">
        <v>480</v>
      </c>
      <c r="M85" s="80" t="s">
        <v>490</v>
      </c>
      <c r="N85" s="63" t="str">
        <f ca="1">D85&amp;"/"&amp;F85</f>
        <v>005/S26+</v>
      </c>
      <c r="O85" s="63" t="s">
        <v>487</v>
      </c>
      <c r="P85" s="63">
        <v>46</v>
      </c>
      <c r="Q85" s="103" t="s">
        <v>389</v>
      </c>
      <c r="R85" s="262" t="s">
        <v>674</v>
      </c>
    </row>
    <row r="86" spans="1:18" ht="18" customHeight="1" x14ac:dyDescent="0.25">
      <c r="A86" s="106"/>
      <c r="B86" s="107"/>
      <c r="C86" s="108"/>
      <c r="D86" s="109"/>
      <c r="E86" s="109"/>
      <c r="F86" s="116" t="str">
        <f t="shared" ref="F86" si="95">"AI"&amp;E85&amp;"+"</f>
        <v>AI26+</v>
      </c>
      <c r="G86" s="109"/>
      <c r="H86" s="109"/>
      <c r="I86" s="212" t="str">
        <f t="shared" ref="I86" si="96">TEXT(E85,"00")&amp;"b"</f>
        <v>26b</v>
      </c>
      <c r="J86" s="333"/>
      <c r="K86" s="109"/>
      <c r="L86" s="212" t="s">
        <v>482</v>
      </c>
      <c r="M86" s="112"/>
      <c r="N86" s="212" t="str">
        <f ca="1">D85&amp;"/"&amp;F86</f>
        <v>005/AI26+</v>
      </c>
      <c r="O86" s="212" t="s">
        <v>487</v>
      </c>
      <c r="P86" s="212">
        <v>47</v>
      </c>
      <c r="Q86" s="109"/>
      <c r="R86" s="111"/>
    </row>
    <row r="87" spans="1:18" ht="18" customHeight="1" x14ac:dyDescent="0.25">
      <c r="A87" s="106"/>
      <c r="B87" s="107"/>
      <c r="C87" s="108"/>
      <c r="D87" s="109"/>
      <c r="E87" s="109"/>
      <c r="F87" s="110" t="str">
        <f>"AI"&amp;E85&amp;"-"</f>
        <v>AI26-</v>
      </c>
      <c r="G87" s="109"/>
      <c r="H87" s="109"/>
      <c r="I87" s="213" t="str">
        <f t="shared" ref="I87" si="97">TEXT(E85,"00")&amp;"c"</f>
        <v>26c</v>
      </c>
      <c r="J87" s="333"/>
      <c r="K87" s="109"/>
      <c r="L87" s="213" t="s">
        <v>483</v>
      </c>
      <c r="M87" s="112"/>
      <c r="N87" s="213" t="str">
        <f ca="1">D85&amp;"/"&amp;F87</f>
        <v>005/AI26-</v>
      </c>
      <c r="O87" s="213" t="s">
        <v>487</v>
      </c>
      <c r="P87" s="213">
        <v>48</v>
      </c>
      <c r="Q87" s="109"/>
      <c r="R87" s="111"/>
    </row>
    <row r="88" spans="1:18" ht="18" customHeight="1" x14ac:dyDescent="0.25">
      <c r="A88" s="119" t="str">
        <f t="shared" ref="A88" ca="1" si="98">"SPAI-"&amp;D88&amp;"/"&amp;E88</f>
        <v>SPAI-005/27</v>
      </c>
      <c r="B88" s="120" t="s">
        <v>377</v>
      </c>
      <c r="C88" s="121" t="s">
        <v>53</v>
      </c>
      <c r="D88" s="122" t="str" cm="1">
        <f t="array" aca="1" ref="D88" ca="1">_xlfn.LET(_xlpm.filepath,CELL("filename",D88),MID(_xlpm.filepath,FIND("]",_xlpm.filepath)+1,3))</f>
        <v>005</v>
      </c>
      <c r="E88" s="122">
        <v>27</v>
      </c>
      <c r="F88" s="123" t="str">
        <f t="shared" ref="F88" si="99">"S"&amp;E88&amp;"+"</f>
        <v>S27+</v>
      </c>
      <c r="G88" s="122" t="s">
        <v>54</v>
      </c>
      <c r="H88" s="122" t="s">
        <v>55</v>
      </c>
      <c r="I88" s="214" t="str">
        <f t="shared" ref="I88" si="100">TEXT(E88,"00")&amp;"a"</f>
        <v>27a</v>
      </c>
      <c r="J88" s="122"/>
      <c r="K88" s="122"/>
      <c r="L88" s="214" t="s">
        <v>480</v>
      </c>
      <c r="M88" s="81" t="s">
        <v>490</v>
      </c>
      <c r="N88" s="214" t="str">
        <f ca="1">D88&amp;"/"&amp;F88</f>
        <v>005/S27+</v>
      </c>
      <c r="O88" s="214" t="s">
        <v>487</v>
      </c>
      <c r="P88" s="214">
        <v>49</v>
      </c>
      <c r="Q88" s="124" t="s">
        <v>389</v>
      </c>
      <c r="R88" s="54" t="s">
        <v>674</v>
      </c>
    </row>
    <row r="89" spans="1:18" ht="18" customHeight="1" x14ac:dyDescent="0.25">
      <c r="A89" s="92"/>
      <c r="B89" s="93"/>
      <c r="C89" s="94"/>
      <c r="D89" s="95"/>
      <c r="E89" s="95"/>
      <c r="F89" s="115" t="str">
        <f t="shared" ref="F89" si="101">"AI"&amp;E88&amp;"+"</f>
        <v>AI27+</v>
      </c>
      <c r="G89" s="95"/>
      <c r="H89" s="95"/>
      <c r="I89" s="209" t="str">
        <f t="shared" ref="I89" si="102">TEXT(E88,"00")&amp;"b"</f>
        <v>27b</v>
      </c>
      <c r="J89" s="95"/>
      <c r="K89" s="95"/>
      <c r="L89" s="209" t="s">
        <v>482</v>
      </c>
      <c r="M89" s="99"/>
      <c r="N89" s="209" t="str">
        <f ca="1">D88&amp;"/"&amp;F89</f>
        <v>005/AI27+</v>
      </c>
      <c r="O89" s="209" t="s">
        <v>487</v>
      </c>
      <c r="P89" s="209">
        <v>50</v>
      </c>
      <c r="Q89" s="97"/>
      <c r="R89" s="98"/>
    </row>
    <row r="90" spans="1:18" ht="18" customHeight="1" x14ac:dyDescent="0.25">
      <c r="A90" s="92"/>
      <c r="B90" s="93"/>
      <c r="C90" s="94"/>
      <c r="D90" s="95"/>
      <c r="E90" s="95"/>
      <c r="F90" s="117" t="str">
        <f>"AI"&amp;E88&amp;"-"</f>
        <v>AI27-</v>
      </c>
      <c r="G90" s="95"/>
      <c r="H90" s="95"/>
      <c r="I90" s="210" t="str">
        <f t="shared" ref="I90" si="103">TEXT(E88,"00")&amp;"c"</f>
        <v>27c</v>
      </c>
      <c r="J90" s="95"/>
      <c r="K90" s="95"/>
      <c r="L90" s="210" t="s">
        <v>483</v>
      </c>
      <c r="M90" s="99"/>
      <c r="N90" s="210" t="str">
        <f ca="1">D88&amp;"/"&amp;F90</f>
        <v>005/AI27-</v>
      </c>
      <c r="O90" s="210" t="s">
        <v>487</v>
      </c>
      <c r="P90" s="210">
        <v>51</v>
      </c>
      <c r="Q90" s="97"/>
      <c r="R90" s="67"/>
    </row>
    <row r="91" spans="1:18" ht="18" customHeight="1" x14ac:dyDescent="0.25">
      <c r="A91" s="100" t="str">
        <f t="shared" ref="A91" ca="1" si="104">"SPAI-"&amp;D91&amp;"/"&amp;E91</f>
        <v>SPAI-005/28</v>
      </c>
      <c r="B91" s="101" t="s">
        <v>377</v>
      </c>
      <c r="C91" s="102" t="s">
        <v>53</v>
      </c>
      <c r="D91" s="103" t="str" cm="1">
        <f t="array" aca="1" ref="D91" ca="1">_xlfn.LET(_xlpm.filepath,CELL("filename",D91),MID(_xlpm.filepath,FIND("]",_xlpm.filepath)+1,3))</f>
        <v>005</v>
      </c>
      <c r="E91" s="103">
        <v>28</v>
      </c>
      <c r="F91" s="104" t="str">
        <f t="shared" ref="F91" si="105">"S"&amp;E91&amp;"+"</f>
        <v>S28+</v>
      </c>
      <c r="G91" s="103" t="s">
        <v>54</v>
      </c>
      <c r="H91" s="103" t="s">
        <v>55</v>
      </c>
      <c r="I91" s="63" t="str">
        <f t="shared" ref="I91" si="106">TEXT(E91,"00")&amp;"a"</f>
        <v>28a</v>
      </c>
      <c r="J91" s="103"/>
      <c r="K91" s="103"/>
      <c r="L91" s="63" t="s">
        <v>480</v>
      </c>
      <c r="M91" s="80" t="s">
        <v>490</v>
      </c>
      <c r="N91" s="63" t="str">
        <f ca="1">D91&amp;"/"&amp;F91</f>
        <v>005/S28+</v>
      </c>
      <c r="O91" s="63" t="s">
        <v>487</v>
      </c>
      <c r="P91" s="63">
        <v>52</v>
      </c>
      <c r="Q91" s="103" t="s">
        <v>389</v>
      </c>
      <c r="R91" s="262" t="s">
        <v>674</v>
      </c>
    </row>
    <row r="92" spans="1:18" ht="18" customHeight="1" x14ac:dyDescent="0.25">
      <c r="A92" s="106"/>
      <c r="B92" s="107"/>
      <c r="C92" s="108"/>
      <c r="D92" s="109"/>
      <c r="E92" s="109"/>
      <c r="F92" s="116" t="str">
        <f t="shared" ref="F92" si="107">"AI"&amp;E91&amp;"+"</f>
        <v>AI28+</v>
      </c>
      <c r="G92" s="109"/>
      <c r="H92" s="109"/>
      <c r="I92" s="212" t="str">
        <f t="shared" ref="I92" si="108">TEXT(E91,"00")&amp;"b"</f>
        <v>28b</v>
      </c>
      <c r="J92" s="333"/>
      <c r="K92" s="109"/>
      <c r="L92" s="212" t="s">
        <v>482</v>
      </c>
      <c r="M92" s="112"/>
      <c r="N92" s="212" t="str">
        <f ca="1">D91&amp;"/"&amp;F92</f>
        <v>005/AI28+</v>
      </c>
      <c r="O92" s="212" t="s">
        <v>487</v>
      </c>
      <c r="P92" s="212">
        <v>53</v>
      </c>
      <c r="Q92" s="109"/>
      <c r="R92" s="111"/>
    </row>
    <row r="93" spans="1:18" ht="18" customHeight="1" x14ac:dyDescent="0.25">
      <c r="A93" s="106"/>
      <c r="B93" s="107"/>
      <c r="C93" s="108"/>
      <c r="D93" s="109"/>
      <c r="E93" s="109"/>
      <c r="F93" s="110" t="str">
        <f>"AI"&amp;E91&amp;"-"</f>
        <v>AI28-</v>
      </c>
      <c r="G93" s="109"/>
      <c r="H93" s="109"/>
      <c r="I93" s="213" t="str">
        <f t="shared" ref="I93" si="109">TEXT(E91,"00")&amp;"c"</f>
        <v>28c</v>
      </c>
      <c r="J93" s="333"/>
      <c r="K93" s="109"/>
      <c r="L93" s="213" t="s">
        <v>483</v>
      </c>
      <c r="M93" s="112"/>
      <c r="N93" s="213" t="str">
        <f ca="1">D91&amp;"/"&amp;F93</f>
        <v>005/AI28-</v>
      </c>
      <c r="O93" s="213" t="s">
        <v>487</v>
      </c>
      <c r="P93" s="213">
        <v>54</v>
      </c>
      <c r="Q93" s="109"/>
      <c r="R93" s="111"/>
    </row>
    <row r="94" spans="1:18" ht="18" customHeight="1" x14ac:dyDescent="0.25">
      <c r="A94" s="119" t="str">
        <f t="shared" ref="A94" ca="1" si="110">"SPAI-"&amp;D94&amp;"/"&amp;E94</f>
        <v>SPAI-005/29</v>
      </c>
      <c r="B94" s="120" t="s">
        <v>377</v>
      </c>
      <c r="C94" s="121" t="s">
        <v>53</v>
      </c>
      <c r="D94" s="122" t="str" cm="1">
        <f t="array" aca="1" ref="D94" ca="1">_xlfn.LET(_xlpm.filepath,CELL("filename",D94),MID(_xlpm.filepath,FIND("]",_xlpm.filepath)+1,3))</f>
        <v>005</v>
      </c>
      <c r="E94" s="122">
        <v>29</v>
      </c>
      <c r="F94" s="123" t="str">
        <f t="shared" ref="F94" si="111">"S"&amp;E94&amp;"+"</f>
        <v>S29+</v>
      </c>
      <c r="G94" s="122" t="s">
        <v>54</v>
      </c>
      <c r="H94" s="122" t="s">
        <v>55</v>
      </c>
      <c r="I94" s="214" t="str">
        <f t="shared" ref="I94" si="112">TEXT(E94,"00")&amp;"a"</f>
        <v>29a</v>
      </c>
      <c r="J94" s="122"/>
      <c r="K94" s="122"/>
      <c r="L94" s="214" t="s">
        <v>480</v>
      </c>
      <c r="M94" s="81" t="s">
        <v>490</v>
      </c>
      <c r="N94" s="214" t="str">
        <f ca="1">D94&amp;"/"&amp;F94</f>
        <v>005/S29+</v>
      </c>
      <c r="O94" s="214" t="s">
        <v>487</v>
      </c>
      <c r="P94" s="232">
        <v>55</v>
      </c>
      <c r="Q94" s="124" t="s">
        <v>389</v>
      </c>
      <c r="R94" s="54" t="s">
        <v>674</v>
      </c>
    </row>
    <row r="95" spans="1:18" ht="18" customHeight="1" x14ac:dyDescent="0.25">
      <c r="A95" s="92"/>
      <c r="B95" s="93"/>
      <c r="C95" s="94"/>
      <c r="D95" s="95"/>
      <c r="E95" s="95"/>
      <c r="F95" s="115" t="str">
        <f t="shared" ref="F95" si="113">"AI"&amp;E94&amp;"+"</f>
        <v>AI29+</v>
      </c>
      <c r="G95" s="95"/>
      <c r="H95" s="95"/>
      <c r="I95" s="209" t="str">
        <f t="shared" ref="I95" si="114">TEXT(E94,"00")&amp;"b"</f>
        <v>29b</v>
      </c>
      <c r="J95" s="95"/>
      <c r="K95" s="95"/>
      <c r="L95" s="209" t="s">
        <v>482</v>
      </c>
      <c r="M95" s="99"/>
      <c r="N95" s="209" t="str">
        <f ca="1">D94&amp;"/"&amp;F95</f>
        <v>005/AI29+</v>
      </c>
      <c r="O95" s="209" t="s">
        <v>487</v>
      </c>
      <c r="P95" s="209">
        <v>56</v>
      </c>
      <c r="Q95" s="97"/>
      <c r="R95" s="98"/>
    </row>
    <row r="96" spans="1:18" ht="18" customHeight="1" x14ac:dyDescent="0.25">
      <c r="A96" s="92"/>
      <c r="B96" s="93"/>
      <c r="C96" s="94"/>
      <c r="D96" s="95"/>
      <c r="E96" s="95"/>
      <c r="F96" s="117" t="str">
        <f>"AI"&amp;E94&amp;"-"</f>
        <v>AI29-</v>
      </c>
      <c r="G96" s="95"/>
      <c r="H96" s="95"/>
      <c r="I96" s="210" t="str">
        <f t="shared" ref="I96" si="115">TEXT(E94,"00")&amp;"c"</f>
        <v>29c</v>
      </c>
      <c r="J96" s="95"/>
      <c r="K96" s="95"/>
      <c r="L96" s="210" t="s">
        <v>483</v>
      </c>
      <c r="M96" s="99"/>
      <c r="N96" s="210" t="str">
        <f ca="1">D94&amp;"/"&amp;F96</f>
        <v>005/AI29-</v>
      </c>
      <c r="O96" s="210" t="s">
        <v>487</v>
      </c>
      <c r="P96" s="210">
        <v>57</v>
      </c>
      <c r="Q96" s="97"/>
      <c r="R96" s="67"/>
    </row>
    <row r="97" spans="1:18" ht="18" customHeight="1" x14ac:dyDescent="0.25">
      <c r="A97" s="100" t="str">
        <f t="shared" ref="A97" ca="1" si="116">"SPAI-"&amp;D97&amp;"/"&amp;E97</f>
        <v>SPAI-005/30</v>
      </c>
      <c r="B97" s="101" t="s">
        <v>377</v>
      </c>
      <c r="C97" s="102" t="s">
        <v>53</v>
      </c>
      <c r="D97" s="103" t="str" cm="1">
        <f t="array" aca="1" ref="D97" ca="1">_xlfn.LET(_xlpm.filepath,CELL("filename",D97),MID(_xlpm.filepath,FIND("]",_xlpm.filepath)+1,3))</f>
        <v>005</v>
      </c>
      <c r="E97" s="103">
        <v>30</v>
      </c>
      <c r="F97" s="104" t="str">
        <f t="shared" ref="F97" si="117">"S"&amp;E97&amp;"+"</f>
        <v>S30+</v>
      </c>
      <c r="G97" s="103" t="s">
        <v>54</v>
      </c>
      <c r="H97" s="103" t="s">
        <v>55</v>
      </c>
      <c r="I97" s="63" t="str">
        <f t="shared" ref="I97" si="118">TEXT(E97,"00")&amp;"a"</f>
        <v>30a</v>
      </c>
      <c r="J97" s="103"/>
      <c r="K97" s="103"/>
      <c r="L97" s="63" t="s">
        <v>480</v>
      </c>
      <c r="M97" s="80" t="s">
        <v>490</v>
      </c>
      <c r="N97" s="63" t="str">
        <f ca="1">D97&amp;"/"&amp;F97</f>
        <v>005/S30+</v>
      </c>
      <c r="O97" s="63" t="s">
        <v>487</v>
      </c>
      <c r="P97" s="63" t="s">
        <v>641</v>
      </c>
      <c r="Q97" s="103" t="s">
        <v>389</v>
      </c>
      <c r="R97" s="262" t="s">
        <v>674</v>
      </c>
    </row>
    <row r="98" spans="1:18" ht="18" customHeight="1" x14ac:dyDescent="0.25">
      <c r="A98" s="106"/>
      <c r="B98" s="107"/>
      <c r="C98" s="108"/>
      <c r="D98" s="109"/>
      <c r="E98" s="109"/>
      <c r="F98" s="116" t="str">
        <f t="shared" ref="F98" si="119">"AI"&amp;E97&amp;"+"</f>
        <v>AI30+</v>
      </c>
      <c r="G98" s="109"/>
      <c r="H98" s="109"/>
      <c r="I98" s="212" t="str">
        <f t="shared" ref="I98" si="120">TEXT(E97,"00")&amp;"b"</f>
        <v>30b</v>
      </c>
      <c r="J98" s="333"/>
      <c r="K98" s="109"/>
      <c r="L98" s="212" t="s">
        <v>482</v>
      </c>
      <c r="M98" s="112"/>
      <c r="N98" s="212" t="str">
        <f ca="1">D97&amp;"/"&amp;F98</f>
        <v>005/AI30+</v>
      </c>
      <c r="O98" s="212" t="s">
        <v>487</v>
      </c>
      <c r="P98" s="212" t="s">
        <v>642</v>
      </c>
      <c r="Q98" s="109"/>
      <c r="R98" s="111"/>
    </row>
    <row r="99" spans="1:18" ht="18" customHeight="1" x14ac:dyDescent="0.25">
      <c r="A99" s="106"/>
      <c r="B99" s="107"/>
      <c r="C99" s="108"/>
      <c r="D99" s="109"/>
      <c r="E99" s="109"/>
      <c r="F99" s="110" t="str">
        <f>"AI"&amp;E97&amp;"-"</f>
        <v>AI30-</v>
      </c>
      <c r="G99" s="109"/>
      <c r="H99" s="109"/>
      <c r="I99" s="213" t="str">
        <f t="shared" ref="I99" si="121">TEXT(E97,"00")&amp;"c"</f>
        <v>30c</v>
      </c>
      <c r="J99" s="333"/>
      <c r="K99" s="109"/>
      <c r="L99" s="213" t="s">
        <v>483</v>
      </c>
      <c r="M99" s="112"/>
      <c r="N99" s="213" t="str">
        <f ca="1">D97&amp;"/"&amp;F99</f>
        <v>005/AI30-</v>
      </c>
      <c r="O99" s="213" t="s">
        <v>487</v>
      </c>
      <c r="P99" s="213" t="s">
        <v>643</v>
      </c>
      <c r="Q99" s="109"/>
      <c r="R99" s="111"/>
    </row>
    <row r="100" spans="1:18" ht="18" customHeight="1" x14ac:dyDescent="0.25">
      <c r="A100" s="119" t="str">
        <f t="shared" ref="A100" ca="1" si="122">"SPAI-"&amp;D100&amp;"/"&amp;E100</f>
        <v>SPAI-005/31</v>
      </c>
      <c r="B100" s="120" t="s">
        <v>377</v>
      </c>
      <c r="C100" s="121" t="s">
        <v>53</v>
      </c>
      <c r="D100" s="122" t="str" cm="1">
        <f t="array" aca="1" ref="D100" ca="1">_xlfn.LET(_xlpm.filepath,CELL("filename",D100),MID(_xlpm.filepath,FIND("]",_xlpm.filepath)+1,3))</f>
        <v>005</v>
      </c>
      <c r="E100" s="122">
        <v>31</v>
      </c>
      <c r="F100" s="123" t="str">
        <f t="shared" ref="F100" si="123">"S"&amp;E100&amp;"+"</f>
        <v>S31+</v>
      </c>
      <c r="G100" s="122" t="s">
        <v>54</v>
      </c>
      <c r="H100" s="122" t="s">
        <v>55</v>
      </c>
      <c r="I100" s="214" t="str">
        <f t="shared" ref="I100" si="124">TEXT(E100,"00")&amp;"a"</f>
        <v>31a</v>
      </c>
      <c r="J100" s="122"/>
      <c r="K100" s="122"/>
      <c r="L100" s="214" t="s">
        <v>480</v>
      </c>
      <c r="M100" s="81" t="s">
        <v>490</v>
      </c>
      <c r="N100" s="214" t="str">
        <f ca="1">D100&amp;"/"&amp;F100</f>
        <v>005/S31+</v>
      </c>
      <c r="O100" s="214" t="s">
        <v>487</v>
      </c>
      <c r="P100" s="214">
        <v>61</v>
      </c>
      <c r="Q100" s="124" t="s">
        <v>389</v>
      </c>
      <c r="R100" s="54" t="s">
        <v>674</v>
      </c>
    </row>
    <row r="101" spans="1:18" ht="18" customHeight="1" x14ac:dyDescent="0.25">
      <c r="A101" s="92"/>
      <c r="B101" s="93"/>
      <c r="C101" s="94"/>
      <c r="D101" s="95"/>
      <c r="E101" s="95"/>
      <c r="F101" s="115" t="str">
        <f t="shared" ref="F101" si="125">"AI"&amp;E100&amp;"+"</f>
        <v>AI31+</v>
      </c>
      <c r="G101" s="95"/>
      <c r="H101" s="95"/>
      <c r="I101" s="209" t="str">
        <f t="shared" ref="I101" si="126">TEXT(E100,"00")&amp;"b"</f>
        <v>31b</v>
      </c>
      <c r="J101" s="95"/>
      <c r="K101" s="95"/>
      <c r="L101" s="209" t="s">
        <v>482</v>
      </c>
      <c r="M101" s="99"/>
      <c r="N101" s="209" t="str">
        <f ca="1">D100&amp;"/"&amp;F101</f>
        <v>005/AI31+</v>
      </c>
      <c r="O101" s="209" t="s">
        <v>487</v>
      </c>
      <c r="P101" s="209">
        <v>62</v>
      </c>
      <c r="Q101" s="97"/>
      <c r="R101" s="98"/>
    </row>
    <row r="102" spans="1:18" ht="18" customHeight="1" x14ac:dyDescent="0.25">
      <c r="A102" s="92"/>
      <c r="B102" s="93"/>
      <c r="C102" s="94"/>
      <c r="D102" s="95"/>
      <c r="E102" s="95"/>
      <c r="F102" s="117" t="str">
        <f>"AI"&amp;E100&amp;"-"</f>
        <v>AI31-</v>
      </c>
      <c r="G102" s="95"/>
      <c r="H102" s="95"/>
      <c r="I102" s="210" t="str">
        <f t="shared" ref="I102" si="127">TEXT(E100,"00")&amp;"c"</f>
        <v>31c</v>
      </c>
      <c r="J102" s="95"/>
      <c r="K102" s="95"/>
      <c r="L102" s="210" t="s">
        <v>483</v>
      </c>
      <c r="M102" s="99"/>
      <c r="N102" s="210" t="str">
        <f ca="1">D100&amp;"/"&amp;F102</f>
        <v>005/AI31-</v>
      </c>
      <c r="O102" s="210" t="s">
        <v>487</v>
      </c>
      <c r="P102" s="210">
        <v>63</v>
      </c>
      <c r="Q102" s="97"/>
      <c r="R102" s="67"/>
    </row>
    <row r="103" spans="1:18" ht="18" customHeight="1" x14ac:dyDescent="0.25">
      <c r="A103" s="100" t="str">
        <f t="shared" ref="A103" ca="1" si="128">"SPAI-"&amp;D103&amp;"/"&amp;E103</f>
        <v>SPAI-005/32</v>
      </c>
      <c r="B103" s="101" t="s">
        <v>377</v>
      </c>
      <c r="C103" s="102" t="s">
        <v>53</v>
      </c>
      <c r="D103" s="103" t="str" cm="1">
        <f t="array" aca="1" ref="D103" ca="1">_xlfn.LET(_xlpm.filepath,CELL("filename",D103),MID(_xlpm.filepath,FIND("]",_xlpm.filepath)+1,3))</f>
        <v>005</v>
      </c>
      <c r="E103" s="103">
        <v>32</v>
      </c>
      <c r="F103" s="104" t="str">
        <f t="shared" ref="F103" si="129">"S"&amp;E103&amp;"+"</f>
        <v>S32+</v>
      </c>
      <c r="G103" s="103" t="s">
        <v>54</v>
      </c>
      <c r="H103" s="103" t="s">
        <v>55</v>
      </c>
      <c r="I103" s="63" t="str">
        <f t="shared" ref="I103" si="130">TEXT(E103,"00")&amp;"a"</f>
        <v>32a</v>
      </c>
      <c r="J103" s="103"/>
      <c r="K103" s="103"/>
      <c r="L103" s="63" t="s">
        <v>480</v>
      </c>
      <c r="M103" s="80" t="s">
        <v>490</v>
      </c>
      <c r="N103" s="63" t="str">
        <f ca="1">D103&amp;"/"&amp;F103</f>
        <v>005/S32+</v>
      </c>
      <c r="O103" s="63" t="s">
        <v>487</v>
      </c>
      <c r="P103" s="63" t="s">
        <v>644</v>
      </c>
      <c r="Q103" s="103" t="s">
        <v>389</v>
      </c>
      <c r="R103" s="262" t="s">
        <v>674</v>
      </c>
    </row>
    <row r="104" spans="1:18" ht="18" customHeight="1" x14ac:dyDescent="0.25">
      <c r="A104" s="106"/>
      <c r="B104" s="107"/>
      <c r="C104" s="108"/>
      <c r="D104" s="109"/>
      <c r="E104" s="109"/>
      <c r="F104" s="116" t="str">
        <f t="shared" ref="F104" si="131">"AI"&amp;E103&amp;"+"</f>
        <v>AI32+</v>
      </c>
      <c r="G104" s="109"/>
      <c r="H104" s="109"/>
      <c r="I104" s="212" t="str">
        <f t="shared" ref="I104" si="132">TEXT(E103,"00")&amp;"b"</f>
        <v>32b</v>
      </c>
      <c r="J104" s="333"/>
      <c r="K104" s="109"/>
      <c r="L104" s="212" t="s">
        <v>482</v>
      </c>
      <c r="M104" s="112"/>
      <c r="N104" s="212" t="str">
        <f ca="1">D103&amp;"/"&amp;F104</f>
        <v>005/AI32+</v>
      </c>
      <c r="O104" s="212" t="s">
        <v>487</v>
      </c>
      <c r="P104" s="212" t="s">
        <v>645</v>
      </c>
      <c r="Q104" s="109"/>
      <c r="R104" s="111"/>
    </row>
    <row r="105" spans="1:18" ht="13.5" thickBot="1" x14ac:dyDescent="0.3">
      <c r="A105" s="153"/>
      <c r="B105" s="154"/>
      <c r="C105" s="155"/>
      <c r="D105" s="160"/>
      <c r="E105" s="160"/>
      <c r="F105" s="118" t="str">
        <f>"AI"&amp;E103&amp;"-"</f>
        <v>AI32-</v>
      </c>
      <c r="G105" s="160"/>
      <c r="H105" s="160"/>
      <c r="I105" s="215" t="str">
        <f t="shared" ref="I105" si="133">TEXT(E103,"00")&amp;"c"</f>
        <v>32c</v>
      </c>
      <c r="J105" s="335"/>
      <c r="K105" s="160"/>
      <c r="L105" s="215" t="s">
        <v>483</v>
      </c>
      <c r="M105" s="82"/>
      <c r="N105" s="215" t="str">
        <f ca="1">D103&amp;"/"&amp;F105</f>
        <v>005/AI32-</v>
      </c>
      <c r="O105" s="215" t="s">
        <v>487</v>
      </c>
      <c r="P105" s="215" t="s">
        <v>646</v>
      </c>
      <c r="Q105" s="160"/>
      <c r="R105" s="161"/>
    </row>
  </sheetData>
  <phoneticPr fontId="19" type="noConversion"/>
  <pageMargins left="0.23622047244094491" right="0.23622047244094491" top="0.74803149606299213" bottom="0.74803149606299213" header="0.31496062992125984" footer="0.31496062992125984"/>
  <pageSetup paperSize="8" scale="62" fitToHeight="2" orientation="landscape" verticalDpi="1200" r:id="rId1"/>
  <headerFooter scaleWithDoc="0">
    <oddHeader>&amp;CSlot/Type: &amp;A</oddHeader>
    <oddFooter>&amp;L&amp;F&amp;R&amp;P of &amp;N</oddFooter>
  </headerFooter>
  <rowBreaks count="1" manualBreakCount="1">
    <brk id="57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046C-DA50-4F9B-A7C9-95ABF7F3ACAF}">
  <sheetPr>
    <pageSetUpPr fitToPage="1"/>
  </sheetPr>
  <dimension ref="A1:T65"/>
  <sheetViews>
    <sheetView view="pageBreakPreview" zoomScaleNormal="100" zoomScaleSheetLayoutView="100" workbookViewId="0">
      <pane ySplit="1" topLeftCell="A27" activePane="bottomLeft" state="frozen"/>
      <selection activeCell="M30" sqref="M30"/>
      <selection pane="bottomLeft" activeCell="M30" sqref="M30"/>
    </sheetView>
  </sheetViews>
  <sheetFormatPr defaultRowHeight="15" x14ac:dyDescent="0.25"/>
  <cols>
    <col min="1" max="1" width="28.28515625" bestFit="1" customWidth="1"/>
    <col min="2" max="2" width="61.28515625" bestFit="1" customWidth="1"/>
    <col min="4" max="4" width="9.140625" style="49"/>
    <col min="5" max="5" width="9.140625" style="50"/>
    <col min="7" max="7" width="11.140625" customWidth="1"/>
    <col min="8" max="8" width="14.7109375" customWidth="1"/>
    <col min="9" max="9" width="8.5703125" customWidth="1"/>
    <col min="10" max="10" width="23" bestFit="1" customWidth="1"/>
    <col min="11" max="11" width="18.85546875" bestFit="1" customWidth="1"/>
    <col min="13" max="13" width="14.7109375" bestFit="1" customWidth="1"/>
    <col min="14" max="14" width="20.5703125" bestFit="1" customWidth="1"/>
    <col min="15" max="15" width="17.7109375" customWidth="1"/>
    <col min="16" max="16" width="10.42578125" style="12" customWidth="1"/>
    <col min="17" max="17" width="8.42578125" customWidth="1"/>
    <col min="18" max="18" width="6.42578125" customWidth="1"/>
    <col min="252" max="252" width="19.5703125" customWidth="1"/>
    <col min="253" max="253" width="52.7109375" customWidth="1"/>
    <col min="258" max="258" width="11.140625" customWidth="1"/>
    <col min="259" max="259" width="14.7109375" customWidth="1"/>
    <col min="260" max="260" width="21.140625" customWidth="1"/>
    <col min="261" max="261" width="14.42578125" customWidth="1"/>
    <col min="263" max="263" width="20.5703125" bestFit="1" customWidth="1"/>
    <col min="264" max="264" width="17.7109375" customWidth="1"/>
    <col min="265" max="265" width="10.42578125" customWidth="1"/>
    <col min="266" max="266" width="8.42578125" customWidth="1"/>
    <col min="267" max="267" width="6.42578125" customWidth="1"/>
    <col min="268" max="268" width="22.5703125" customWidth="1"/>
    <col min="508" max="508" width="19.5703125" customWidth="1"/>
    <col min="509" max="509" width="52.7109375" customWidth="1"/>
    <col min="514" max="514" width="11.140625" customWidth="1"/>
    <col min="515" max="515" width="14.7109375" customWidth="1"/>
    <col min="516" max="516" width="21.140625" customWidth="1"/>
    <col min="517" max="517" width="14.42578125" customWidth="1"/>
    <col min="519" max="519" width="20.5703125" bestFit="1" customWidth="1"/>
    <col min="520" max="520" width="17.7109375" customWidth="1"/>
    <col min="521" max="521" width="10.42578125" customWidth="1"/>
    <col min="522" max="522" width="8.42578125" customWidth="1"/>
    <col min="523" max="523" width="6.42578125" customWidth="1"/>
    <col min="524" max="524" width="22.5703125" customWidth="1"/>
    <col min="764" max="764" width="19.5703125" customWidth="1"/>
    <col min="765" max="765" width="52.7109375" customWidth="1"/>
    <col min="770" max="770" width="11.140625" customWidth="1"/>
    <col min="771" max="771" width="14.7109375" customWidth="1"/>
    <col min="772" max="772" width="21.140625" customWidth="1"/>
    <col min="773" max="773" width="14.42578125" customWidth="1"/>
    <col min="775" max="775" width="20.5703125" bestFit="1" customWidth="1"/>
    <col min="776" max="776" width="17.7109375" customWidth="1"/>
    <col min="777" max="777" width="10.42578125" customWidth="1"/>
    <col min="778" max="778" width="8.42578125" customWidth="1"/>
    <col min="779" max="779" width="6.42578125" customWidth="1"/>
    <col min="780" max="780" width="22.5703125" customWidth="1"/>
    <col min="1020" max="1020" width="19.5703125" customWidth="1"/>
    <col min="1021" max="1021" width="52.7109375" customWidth="1"/>
    <col min="1026" max="1026" width="11.140625" customWidth="1"/>
    <col min="1027" max="1027" width="14.7109375" customWidth="1"/>
    <col min="1028" max="1028" width="21.140625" customWidth="1"/>
    <col min="1029" max="1029" width="14.42578125" customWidth="1"/>
    <col min="1031" max="1031" width="20.5703125" bestFit="1" customWidth="1"/>
    <col min="1032" max="1032" width="17.7109375" customWidth="1"/>
    <col min="1033" max="1033" width="10.42578125" customWidth="1"/>
    <col min="1034" max="1034" width="8.42578125" customWidth="1"/>
    <col min="1035" max="1035" width="6.42578125" customWidth="1"/>
    <col min="1036" max="1036" width="22.5703125" customWidth="1"/>
    <col min="1276" max="1276" width="19.5703125" customWidth="1"/>
    <col min="1277" max="1277" width="52.7109375" customWidth="1"/>
    <col min="1282" max="1282" width="11.140625" customWidth="1"/>
    <col min="1283" max="1283" width="14.7109375" customWidth="1"/>
    <col min="1284" max="1284" width="21.140625" customWidth="1"/>
    <col min="1285" max="1285" width="14.42578125" customWidth="1"/>
    <col min="1287" max="1287" width="20.5703125" bestFit="1" customWidth="1"/>
    <col min="1288" max="1288" width="17.7109375" customWidth="1"/>
    <col min="1289" max="1289" width="10.42578125" customWidth="1"/>
    <col min="1290" max="1290" width="8.42578125" customWidth="1"/>
    <col min="1291" max="1291" width="6.42578125" customWidth="1"/>
    <col min="1292" max="1292" width="22.5703125" customWidth="1"/>
    <col min="1532" max="1532" width="19.5703125" customWidth="1"/>
    <col min="1533" max="1533" width="52.7109375" customWidth="1"/>
    <col min="1538" max="1538" width="11.140625" customWidth="1"/>
    <col min="1539" max="1539" width="14.7109375" customWidth="1"/>
    <col min="1540" max="1540" width="21.140625" customWidth="1"/>
    <col min="1541" max="1541" width="14.42578125" customWidth="1"/>
    <col min="1543" max="1543" width="20.5703125" bestFit="1" customWidth="1"/>
    <col min="1544" max="1544" width="17.7109375" customWidth="1"/>
    <col min="1545" max="1545" width="10.42578125" customWidth="1"/>
    <col min="1546" max="1546" width="8.42578125" customWidth="1"/>
    <col min="1547" max="1547" width="6.42578125" customWidth="1"/>
    <col min="1548" max="1548" width="22.5703125" customWidth="1"/>
    <col min="1788" max="1788" width="19.5703125" customWidth="1"/>
    <col min="1789" max="1789" width="52.7109375" customWidth="1"/>
    <col min="1794" max="1794" width="11.140625" customWidth="1"/>
    <col min="1795" max="1795" width="14.7109375" customWidth="1"/>
    <col min="1796" max="1796" width="21.140625" customWidth="1"/>
    <col min="1797" max="1797" width="14.42578125" customWidth="1"/>
    <col min="1799" max="1799" width="20.5703125" bestFit="1" customWidth="1"/>
    <col min="1800" max="1800" width="17.7109375" customWidth="1"/>
    <col min="1801" max="1801" width="10.42578125" customWidth="1"/>
    <col min="1802" max="1802" width="8.42578125" customWidth="1"/>
    <col min="1803" max="1803" width="6.42578125" customWidth="1"/>
    <col min="1804" max="1804" width="22.5703125" customWidth="1"/>
    <col min="2044" max="2044" width="19.5703125" customWidth="1"/>
    <col min="2045" max="2045" width="52.7109375" customWidth="1"/>
    <col min="2050" max="2050" width="11.140625" customWidth="1"/>
    <col min="2051" max="2051" width="14.7109375" customWidth="1"/>
    <col min="2052" max="2052" width="21.140625" customWidth="1"/>
    <col min="2053" max="2053" width="14.42578125" customWidth="1"/>
    <col min="2055" max="2055" width="20.5703125" bestFit="1" customWidth="1"/>
    <col min="2056" max="2056" width="17.7109375" customWidth="1"/>
    <col min="2057" max="2057" width="10.42578125" customWidth="1"/>
    <col min="2058" max="2058" width="8.42578125" customWidth="1"/>
    <col min="2059" max="2059" width="6.42578125" customWidth="1"/>
    <col min="2060" max="2060" width="22.5703125" customWidth="1"/>
    <col min="2300" max="2300" width="19.5703125" customWidth="1"/>
    <col min="2301" max="2301" width="52.7109375" customWidth="1"/>
    <col min="2306" max="2306" width="11.140625" customWidth="1"/>
    <col min="2307" max="2307" width="14.7109375" customWidth="1"/>
    <col min="2308" max="2308" width="21.140625" customWidth="1"/>
    <col min="2309" max="2309" width="14.42578125" customWidth="1"/>
    <col min="2311" max="2311" width="20.5703125" bestFit="1" customWidth="1"/>
    <col min="2312" max="2312" width="17.7109375" customWidth="1"/>
    <col min="2313" max="2313" width="10.42578125" customWidth="1"/>
    <col min="2314" max="2314" width="8.42578125" customWidth="1"/>
    <col min="2315" max="2315" width="6.42578125" customWidth="1"/>
    <col min="2316" max="2316" width="22.5703125" customWidth="1"/>
    <col min="2556" max="2556" width="19.5703125" customWidth="1"/>
    <col min="2557" max="2557" width="52.7109375" customWidth="1"/>
    <col min="2562" max="2562" width="11.140625" customWidth="1"/>
    <col min="2563" max="2563" width="14.7109375" customWidth="1"/>
    <col min="2564" max="2564" width="21.140625" customWidth="1"/>
    <col min="2565" max="2565" width="14.42578125" customWidth="1"/>
    <col min="2567" max="2567" width="20.5703125" bestFit="1" customWidth="1"/>
    <col min="2568" max="2568" width="17.7109375" customWidth="1"/>
    <col min="2569" max="2569" width="10.42578125" customWidth="1"/>
    <col min="2570" max="2570" width="8.42578125" customWidth="1"/>
    <col min="2571" max="2571" width="6.42578125" customWidth="1"/>
    <col min="2572" max="2572" width="22.5703125" customWidth="1"/>
    <col min="2812" max="2812" width="19.5703125" customWidth="1"/>
    <col min="2813" max="2813" width="52.7109375" customWidth="1"/>
    <col min="2818" max="2818" width="11.140625" customWidth="1"/>
    <col min="2819" max="2819" width="14.7109375" customWidth="1"/>
    <col min="2820" max="2820" width="21.140625" customWidth="1"/>
    <col min="2821" max="2821" width="14.42578125" customWidth="1"/>
    <col min="2823" max="2823" width="20.5703125" bestFit="1" customWidth="1"/>
    <col min="2824" max="2824" width="17.7109375" customWidth="1"/>
    <col min="2825" max="2825" width="10.42578125" customWidth="1"/>
    <col min="2826" max="2826" width="8.42578125" customWidth="1"/>
    <col min="2827" max="2827" width="6.42578125" customWidth="1"/>
    <col min="2828" max="2828" width="22.5703125" customWidth="1"/>
    <col min="3068" max="3068" width="19.5703125" customWidth="1"/>
    <col min="3069" max="3069" width="52.7109375" customWidth="1"/>
    <col min="3074" max="3074" width="11.140625" customWidth="1"/>
    <col min="3075" max="3075" width="14.7109375" customWidth="1"/>
    <col min="3076" max="3076" width="21.140625" customWidth="1"/>
    <col min="3077" max="3077" width="14.42578125" customWidth="1"/>
    <col min="3079" max="3079" width="20.5703125" bestFit="1" customWidth="1"/>
    <col min="3080" max="3080" width="17.7109375" customWidth="1"/>
    <col min="3081" max="3081" width="10.42578125" customWidth="1"/>
    <col min="3082" max="3082" width="8.42578125" customWidth="1"/>
    <col min="3083" max="3083" width="6.42578125" customWidth="1"/>
    <col min="3084" max="3084" width="22.5703125" customWidth="1"/>
    <col min="3324" max="3324" width="19.5703125" customWidth="1"/>
    <col min="3325" max="3325" width="52.7109375" customWidth="1"/>
    <col min="3330" max="3330" width="11.140625" customWidth="1"/>
    <col min="3331" max="3331" width="14.7109375" customWidth="1"/>
    <col min="3332" max="3332" width="21.140625" customWidth="1"/>
    <col min="3333" max="3333" width="14.42578125" customWidth="1"/>
    <col min="3335" max="3335" width="20.5703125" bestFit="1" customWidth="1"/>
    <col min="3336" max="3336" width="17.7109375" customWidth="1"/>
    <col min="3337" max="3337" width="10.42578125" customWidth="1"/>
    <col min="3338" max="3338" width="8.42578125" customWidth="1"/>
    <col min="3339" max="3339" width="6.42578125" customWidth="1"/>
    <col min="3340" max="3340" width="22.5703125" customWidth="1"/>
    <col min="3580" max="3580" width="19.5703125" customWidth="1"/>
    <col min="3581" max="3581" width="52.7109375" customWidth="1"/>
    <col min="3586" max="3586" width="11.140625" customWidth="1"/>
    <col min="3587" max="3587" width="14.7109375" customWidth="1"/>
    <col min="3588" max="3588" width="21.140625" customWidth="1"/>
    <col min="3589" max="3589" width="14.42578125" customWidth="1"/>
    <col min="3591" max="3591" width="20.5703125" bestFit="1" customWidth="1"/>
    <col min="3592" max="3592" width="17.7109375" customWidth="1"/>
    <col min="3593" max="3593" width="10.42578125" customWidth="1"/>
    <col min="3594" max="3594" width="8.42578125" customWidth="1"/>
    <col min="3595" max="3595" width="6.42578125" customWidth="1"/>
    <col min="3596" max="3596" width="22.5703125" customWidth="1"/>
    <col min="3836" max="3836" width="19.5703125" customWidth="1"/>
    <col min="3837" max="3837" width="52.7109375" customWidth="1"/>
    <col min="3842" max="3842" width="11.140625" customWidth="1"/>
    <col min="3843" max="3843" width="14.7109375" customWidth="1"/>
    <col min="3844" max="3844" width="21.140625" customWidth="1"/>
    <col min="3845" max="3845" width="14.42578125" customWidth="1"/>
    <col min="3847" max="3847" width="20.5703125" bestFit="1" customWidth="1"/>
    <col min="3848" max="3848" width="17.7109375" customWidth="1"/>
    <col min="3849" max="3849" width="10.42578125" customWidth="1"/>
    <col min="3850" max="3850" width="8.42578125" customWidth="1"/>
    <col min="3851" max="3851" width="6.42578125" customWidth="1"/>
    <col min="3852" max="3852" width="22.5703125" customWidth="1"/>
    <col min="4092" max="4092" width="19.5703125" customWidth="1"/>
    <col min="4093" max="4093" width="52.7109375" customWidth="1"/>
    <col min="4098" max="4098" width="11.140625" customWidth="1"/>
    <col min="4099" max="4099" width="14.7109375" customWidth="1"/>
    <col min="4100" max="4100" width="21.140625" customWidth="1"/>
    <col min="4101" max="4101" width="14.42578125" customWidth="1"/>
    <col min="4103" max="4103" width="20.5703125" bestFit="1" customWidth="1"/>
    <col min="4104" max="4104" width="17.7109375" customWidth="1"/>
    <col min="4105" max="4105" width="10.42578125" customWidth="1"/>
    <col min="4106" max="4106" width="8.42578125" customWidth="1"/>
    <col min="4107" max="4107" width="6.42578125" customWidth="1"/>
    <col min="4108" max="4108" width="22.5703125" customWidth="1"/>
    <col min="4348" max="4348" width="19.5703125" customWidth="1"/>
    <col min="4349" max="4349" width="52.7109375" customWidth="1"/>
    <col min="4354" max="4354" width="11.140625" customWidth="1"/>
    <col min="4355" max="4355" width="14.7109375" customWidth="1"/>
    <col min="4356" max="4356" width="21.140625" customWidth="1"/>
    <col min="4357" max="4357" width="14.42578125" customWidth="1"/>
    <col min="4359" max="4359" width="20.5703125" bestFit="1" customWidth="1"/>
    <col min="4360" max="4360" width="17.7109375" customWidth="1"/>
    <col min="4361" max="4361" width="10.42578125" customWidth="1"/>
    <col min="4362" max="4362" width="8.42578125" customWidth="1"/>
    <col min="4363" max="4363" width="6.42578125" customWidth="1"/>
    <col min="4364" max="4364" width="22.5703125" customWidth="1"/>
    <col min="4604" max="4604" width="19.5703125" customWidth="1"/>
    <col min="4605" max="4605" width="52.7109375" customWidth="1"/>
    <col min="4610" max="4610" width="11.140625" customWidth="1"/>
    <col min="4611" max="4611" width="14.7109375" customWidth="1"/>
    <col min="4612" max="4612" width="21.140625" customWidth="1"/>
    <col min="4613" max="4613" width="14.42578125" customWidth="1"/>
    <col min="4615" max="4615" width="20.5703125" bestFit="1" customWidth="1"/>
    <col min="4616" max="4616" width="17.7109375" customWidth="1"/>
    <col min="4617" max="4617" width="10.42578125" customWidth="1"/>
    <col min="4618" max="4618" width="8.42578125" customWidth="1"/>
    <col min="4619" max="4619" width="6.42578125" customWidth="1"/>
    <col min="4620" max="4620" width="22.5703125" customWidth="1"/>
    <col min="4860" max="4860" width="19.5703125" customWidth="1"/>
    <col min="4861" max="4861" width="52.7109375" customWidth="1"/>
    <col min="4866" max="4866" width="11.140625" customWidth="1"/>
    <col min="4867" max="4867" width="14.7109375" customWidth="1"/>
    <col min="4868" max="4868" width="21.140625" customWidth="1"/>
    <col min="4869" max="4869" width="14.42578125" customWidth="1"/>
    <col min="4871" max="4871" width="20.5703125" bestFit="1" customWidth="1"/>
    <col min="4872" max="4872" width="17.7109375" customWidth="1"/>
    <col min="4873" max="4873" width="10.42578125" customWidth="1"/>
    <col min="4874" max="4874" width="8.42578125" customWidth="1"/>
    <col min="4875" max="4875" width="6.42578125" customWidth="1"/>
    <col min="4876" max="4876" width="22.5703125" customWidth="1"/>
    <col min="5116" max="5116" width="19.5703125" customWidth="1"/>
    <col min="5117" max="5117" width="52.7109375" customWidth="1"/>
    <col min="5122" max="5122" width="11.140625" customWidth="1"/>
    <col min="5123" max="5123" width="14.7109375" customWidth="1"/>
    <col min="5124" max="5124" width="21.140625" customWidth="1"/>
    <col min="5125" max="5125" width="14.42578125" customWidth="1"/>
    <col min="5127" max="5127" width="20.5703125" bestFit="1" customWidth="1"/>
    <col min="5128" max="5128" width="17.7109375" customWidth="1"/>
    <col min="5129" max="5129" width="10.42578125" customWidth="1"/>
    <col min="5130" max="5130" width="8.42578125" customWidth="1"/>
    <col min="5131" max="5131" width="6.42578125" customWidth="1"/>
    <col min="5132" max="5132" width="22.5703125" customWidth="1"/>
    <col min="5372" max="5372" width="19.5703125" customWidth="1"/>
    <col min="5373" max="5373" width="52.7109375" customWidth="1"/>
    <col min="5378" max="5378" width="11.140625" customWidth="1"/>
    <col min="5379" max="5379" width="14.7109375" customWidth="1"/>
    <col min="5380" max="5380" width="21.140625" customWidth="1"/>
    <col min="5381" max="5381" width="14.42578125" customWidth="1"/>
    <col min="5383" max="5383" width="20.5703125" bestFit="1" customWidth="1"/>
    <col min="5384" max="5384" width="17.7109375" customWidth="1"/>
    <col min="5385" max="5385" width="10.42578125" customWidth="1"/>
    <col min="5386" max="5386" width="8.42578125" customWidth="1"/>
    <col min="5387" max="5387" width="6.42578125" customWidth="1"/>
    <col min="5388" max="5388" width="22.5703125" customWidth="1"/>
    <col min="5628" max="5628" width="19.5703125" customWidth="1"/>
    <col min="5629" max="5629" width="52.7109375" customWidth="1"/>
    <col min="5634" max="5634" width="11.140625" customWidth="1"/>
    <col min="5635" max="5635" width="14.7109375" customWidth="1"/>
    <col min="5636" max="5636" width="21.140625" customWidth="1"/>
    <col min="5637" max="5637" width="14.42578125" customWidth="1"/>
    <col min="5639" max="5639" width="20.5703125" bestFit="1" customWidth="1"/>
    <col min="5640" max="5640" width="17.7109375" customWidth="1"/>
    <col min="5641" max="5641" width="10.42578125" customWidth="1"/>
    <col min="5642" max="5642" width="8.42578125" customWidth="1"/>
    <col min="5643" max="5643" width="6.42578125" customWidth="1"/>
    <col min="5644" max="5644" width="22.5703125" customWidth="1"/>
    <col min="5884" max="5884" width="19.5703125" customWidth="1"/>
    <col min="5885" max="5885" width="52.7109375" customWidth="1"/>
    <col min="5890" max="5890" width="11.140625" customWidth="1"/>
    <col min="5891" max="5891" width="14.7109375" customWidth="1"/>
    <col min="5892" max="5892" width="21.140625" customWidth="1"/>
    <col min="5893" max="5893" width="14.42578125" customWidth="1"/>
    <col min="5895" max="5895" width="20.5703125" bestFit="1" customWidth="1"/>
    <col min="5896" max="5896" width="17.7109375" customWidth="1"/>
    <col min="5897" max="5897" width="10.42578125" customWidth="1"/>
    <col min="5898" max="5898" width="8.42578125" customWidth="1"/>
    <col min="5899" max="5899" width="6.42578125" customWidth="1"/>
    <col min="5900" max="5900" width="22.5703125" customWidth="1"/>
    <col min="6140" max="6140" width="19.5703125" customWidth="1"/>
    <col min="6141" max="6141" width="52.7109375" customWidth="1"/>
    <col min="6146" max="6146" width="11.140625" customWidth="1"/>
    <col min="6147" max="6147" width="14.7109375" customWidth="1"/>
    <col min="6148" max="6148" width="21.140625" customWidth="1"/>
    <col min="6149" max="6149" width="14.42578125" customWidth="1"/>
    <col min="6151" max="6151" width="20.5703125" bestFit="1" customWidth="1"/>
    <col min="6152" max="6152" width="17.7109375" customWidth="1"/>
    <col min="6153" max="6153" width="10.42578125" customWidth="1"/>
    <col min="6154" max="6154" width="8.42578125" customWidth="1"/>
    <col min="6155" max="6155" width="6.42578125" customWidth="1"/>
    <col min="6156" max="6156" width="22.5703125" customWidth="1"/>
    <col min="6396" max="6396" width="19.5703125" customWidth="1"/>
    <col min="6397" max="6397" width="52.7109375" customWidth="1"/>
    <col min="6402" max="6402" width="11.140625" customWidth="1"/>
    <col min="6403" max="6403" width="14.7109375" customWidth="1"/>
    <col min="6404" max="6404" width="21.140625" customWidth="1"/>
    <col min="6405" max="6405" width="14.42578125" customWidth="1"/>
    <col min="6407" max="6407" width="20.5703125" bestFit="1" customWidth="1"/>
    <col min="6408" max="6408" width="17.7109375" customWidth="1"/>
    <col min="6409" max="6409" width="10.42578125" customWidth="1"/>
    <col min="6410" max="6410" width="8.42578125" customWidth="1"/>
    <col min="6411" max="6411" width="6.42578125" customWidth="1"/>
    <col min="6412" max="6412" width="22.5703125" customWidth="1"/>
    <col min="6652" max="6652" width="19.5703125" customWidth="1"/>
    <col min="6653" max="6653" width="52.7109375" customWidth="1"/>
    <col min="6658" max="6658" width="11.140625" customWidth="1"/>
    <col min="6659" max="6659" width="14.7109375" customWidth="1"/>
    <col min="6660" max="6660" width="21.140625" customWidth="1"/>
    <col min="6661" max="6661" width="14.42578125" customWidth="1"/>
    <col min="6663" max="6663" width="20.5703125" bestFit="1" customWidth="1"/>
    <col min="6664" max="6664" width="17.7109375" customWidth="1"/>
    <col min="6665" max="6665" width="10.42578125" customWidth="1"/>
    <col min="6666" max="6666" width="8.42578125" customWidth="1"/>
    <col min="6667" max="6667" width="6.42578125" customWidth="1"/>
    <col min="6668" max="6668" width="22.5703125" customWidth="1"/>
    <col min="6908" max="6908" width="19.5703125" customWidth="1"/>
    <col min="6909" max="6909" width="52.7109375" customWidth="1"/>
    <col min="6914" max="6914" width="11.140625" customWidth="1"/>
    <col min="6915" max="6915" width="14.7109375" customWidth="1"/>
    <col min="6916" max="6916" width="21.140625" customWidth="1"/>
    <col min="6917" max="6917" width="14.42578125" customWidth="1"/>
    <col min="6919" max="6919" width="20.5703125" bestFit="1" customWidth="1"/>
    <col min="6920" max="6920" width="17.7109375" customWidth="1"/>
    <col min="6921" max="6921" width="10.42578125" customWidth="1"/>
    <col min="6922" max="6922" width="8.42578125" customWidth="1"/>
    <col min="6923" max="6923" width="6.42578125" customWidth="1"/>
    <col min="6924" max="6924" width="22.5703125" customWidth="1"/>
    <col min="7164" max="7164" width="19.5703125" customWidth="1"/>
    <col min="7165" max="7165" width="52.7109375" customWidth="1"/>
    <col min="7170" max="7170" width="11.140625" customWidth="1"/>
    <col min="7171" max="7171" width="14.7109375" customWidth="1"/>
    <col min="7172" max="7172" width="21.140625" customWidth="1"/>
    <col min="7173" max="7173" width="14.42578125" customWidth="1"/>
    <col min="7175" max="7175" width="20.5703125" bestFit="1" customWidth="1"/>
    <col min="7176" max="7176" width="17.7109375" customWidth="1"/>
    <col min="7177" max="7177" width="10.42578125" customWidth="1"/>
    <col min="7178" max="7178" width="8.42578125" customWidth="1"/>
    <col min="7179" max="7179" width="6.42578125" customWidth="1"/>
    <col min="7180" max="7180" width="22.5703125" customWidth="1"/>
    <col min="7420" max="7420" width="19.5703125" customWidth="1"/>
    <col min="7421" max="7421" width="52.7109375" customWidth="1"/>
    <col min="7426" max="7426" width="11.140625" customWidth="1"/>
    <col min="7427" max="7427" width="14.7109375" customWidth="1"/>
    <col min="7428" max="7428" width="21.140625" customWidth="1"/>
    <col min="7429" max="7429" width="14.42578125" customWidth="1"/>
    <col min="7431" max="7431" width="20.5703125" bestFit="1" customWidth="1"/>
    <col min="7432" max="7432" width="17.7109375" customWidth="1"/>
    <col min="7433" max="7433" width="10.42578125" customWidth="1"/>
    <col min="7434" max="7434" width="8.42578125" customWidth="1"/>
    <col min="7435" max="7435" width="6.42578125" customWidth="1"/>
    <col min="7436" max="7436" width="22.5703125" customWidth="1"/>
    <col min="7676" max="7676" width="19.5703125" customWidth="1"/>
    <col min="7677" max="7677" width="52.7109375" customWidth="1"/>
    <col min="7682" max="7682" width="11.140625" customWidth="1"/>
    <col min="7683" max="7683" width="14.7109375" customWidth="1"/>
    <col min="7684" max="7684" width="21.140625" customWidth="1"/>
    <col min="7685" max="7685" width="14.42578125" customWidth="1"/>
    <col min="7687" max="7687" width="20.5703125" bestFit="1" customWidth="1"/>
    <col min="7688" max="7688" width="17.7109375" customWidth="1"/>
    <col min="7689" max="7689" width="10.42578125" customWidth="1"/>
    <col min="7690" max="7690" width="8.42578125" customWidth="1"/>
    <col min="7691" max="7691" width="6.42578125" customWidth="1"/>
    <col min="7692" max="7692" width="22.5703125" customWidth="1"/>
    <col min="7932" max="7932" width="19.5703125" customWidth="1"/>
    <col min="7933" max="7933" width="52.7109375" customWidth="1"/>
    <col min="7938" max="7938" width="11.140625" customWidth="1"/>
    <col min="7939" max="7939" width="14.7109375" customWidth="1"/>
    <col min="7940" max="7940" width="21.140625" customWidth="1"/>
    <col min="7941" max="7941" width="14.42578125" customWidth="1"/>
    <col min="7943" max="7943" width="20.5703125" bestFit="1" customWidth="1"/>
    <col min="7944" max="7944" width="17.7109375" customWidth="1"/>
    <col min="7945" max="7945" width="10.42578125" customWidth="1"/>
    <col min="7946" max="7946" width="8.42578125" customWidth="1"/>
    <col min="7947" max="7947" width="6.42578125" customWidth="1"/>
    <col min="7948" max="7948" width="22.5703125" customWidth="1"/>
    <col min="8188" max="8188" width="19.5703125" customWidth="1"/>
    <col min="8189" max="8189" width="52.7109375" customWidth="1"/>
    <col min="8194" max="8194" width="11.140625" customWidth="1"/>
    <col min="8195" max="8195" width="14.7109375" customWidth="1"/>
    <col min="8196" max="8196" width="21.140625" customWidth="1"/>
    <col min="8197" max="8197" width="14.42578125" customWidth="1"/>
    <col min="8199" max="8199" width="20.5703125" bestFit="1" customWidth="1"/>
    <col min="8200" max="8200" width="17.7109375" customWidth="1"/>
    <col min="8201" max="8201" width="10.42578125" customWidth="1"/>
    <col min="8202" max="8202" width="8.42578125" customWidth="1"/>
    <col min="8203" max="8203" width="6.42578125" customWidth="1"/>
    <col min="8204" max="8204" width="22.5703125" customWidth="1"/>
    <col min="8444" max="8444" width="19.5703125" customWidth="1"/>
    <col min="8445" max="8445" width="52.7109375" customWidth="1"/>
    <col min="8450" max="8450" width="11.140625" customWidth="1"/>
    <col min="8451" max="8451" width="14.7109375" customWidth="1"/>
    <col min="8452" max="8452" width="21.140625" customWidth="1"/>
    <col min="8453" max="8453" width="14.42578125" customWidth="1"/>
    <col min="8455" max="8455" width="20.5703125" bestFit="1" customWidth="1"/>
    <col min="8456" max="8456" width="17.7109375" customWidth="1"/>
    <col min="8457" max="8457" width="10.42578125" customWidth="1"/>
    <col min="8458" max="8458" width="8.42578125" customWidth="1"/>
    <col min="8459" max="8459" width="6.42578125" customWidth="1"/>
    <col min="8460" max="8460" width="22.5703125" customWidth="1"/>
    <col min="8700" max="8700" width="19.5703125" customWidth="1"/>
    <col min="8701" max="8701" width="52.7109375" customWidth="1"/>
    <col min="8706" max="8706" width="11.140625" customWidth="1"/>
    <col min="8707" max="8707" width="14.7109375" customWidth="1"/>
    <col min="8708" max="8708" width="21.140625" customWidth="1"/>
    <col min="8709" max="8709" width="14.42578125" customWidth="1"/>
    <col min="8711" max="8711" width="20.5703125" bestFit="1" customWidth="1"/>
    <col min="8712" max="8712" width="17.7109375" customWidth="1"/>
    <col min="8713" max="8713" width="10.42578125" customWidth="1"/>
    <col min="8714" max="8714" width="8.42578125" customWidth="1"/>
    <col min="8715" max="8715" width="6.42578125" customWidth="1"/>
    <col min="8716" max="8716" width="22.5703125" customWidth="1"/>
    <col min="8956" max="8956" width="19.5703125" customWidth="1"/>
    <col min="8957" max="8957" width="52.7109375" customWidth="1"/>
    <col min="8962" max="8962" width="11.140625" customWidth="1"/>
    <col min="8963" max="8963" width="14.7109375" customWidth="1"/>
    <col min="8964" max="8964" width="21.140625" customWidth="1"/>
    <col min="8965" max="8965" width="14.42578125" customWidth="1"/>
    <col min="8967" max="8967" width="20.5703125" bestFit="1" customWidth="1"/>
    <col min="8968" max="8968" width="17.7109375" customWidth="1"/>
    <col min="8969" max="8969" width="10.42578125" customWidth="1"/>
    <col min="8970" max="8970" width="8.42578125" customWidth="1"/>
    <col min="8971" max="8971" width="6.42578125" customWidth="1"/>
    <col min="8972" max="8972" width="22.5703125" customWidth="1"/>
    <col min="9212" max="9212" width="19.5703125" customWidth="1"/>
    <col min="9213" max="9213" width="52.7109375" customWidth="1"/>
    <col min="9218" max="9218" width="11.140625" customWidth="1"/>
    <col min="9219" max="9219" width="14.7109375" customWidth="1"/>
    <col min="9220" max="9220" width="21.140625" customWidth="1"/>
    <col min="9221" max="9221" width="14.42578125" customWidth="1"/>
    <col min="9223" max="9223" width="20.5703125" bestFit="1" customWidth="1"/>
    <col min="9224" max="9224" width="17.7109375" customWidth="1"/>
    <col min="9225" max="9225" width="10.42578125" customWidth="1"/>
    <col min="9226" max="9226" width="8.42578125" customWidth="1"/>
    <col min="9227" max="9227" width="6.42578125" customWidth="1"/>
    <col min="9228" max="9228" width="22.5703125" customWidth="1"/>
    <col min="9468" max="9468" width="19.5703125" customWidth="1"/>
    <col min="9469" max="9469" width="52.7109375" customWidth="1"/>
    <col min="9474" max="9474" width="11.140625" customWidth="1"/>
    <col min="9475" max="9475" width="14.7109375" customWidth="1"/>
    <col min="9476" max="9476" width="21.140625" customWidth="1"/>
    <col min="9477" max="9477" width="14.42578125" customWidth="1"/>
    <col min="9479" max="9479" width="20.5703125" bestFit="1" customWidth="1"/>
    <col min="9480" max="9480" width="17.7109375" customWidth="1"/>
    <col min="9481" max="9481" width="10.42578125" customWidth="1"/>
    <col min="9482" max="9482" width="8.42578125" customWidth="1"/>
    <col min="9483" max="9483" width="6.42578125" customWidth="1"/>
    <col min="9484" max="9484" width="22.5703125" customWidth="1"/>
    <col min="9724" max="9724" width="19.5703125" customWidth="1"/>
    <col min="9725" max="9725" width="52.7109375" customWidth="1"/>
    <col min="9730" max="9730" width="11.140625" customWidth="1"/>
    <col min="9731" max="9731" width="14.7109375" customWidth="1"/>
    <col min="9732" max="9732" width="21.140625" customWidth="1"/>
    <col min="9733" max="9733" width="14.42578125" customWidth="1"/>
    <col min="9735" max="9735" width="20.5703125" bestFit="1" customWidth="1"/>
    <col min="9736" max="9736" width="17.7109375" customWidth="1"/>
    <col min="9737" max="9737" width="10.42578125" customWidth="1"/>
    <col min="9738" max="9738" width="8.42578125" customWidth="1"/>
    <col min="9739" max="9739" width="6.42578125" customWidth="1"/>
    <col min="9740" max="9740" width="22.5703125" customWidth="1"/>
    <col min="9980" max="9980" width="19.5703125" customWidth="1"/>
    <col min="9981" max="9981" width="52.7109375" customWidth="1"/>
    <col min="9986" max="9986" width="11.140625" customWidth="1"/>
    <col min="9987" max="9987" width="14.7109375" customWidth="1"/>
    <col min="9988" max="9988" width="21.140625" customWidth="1"/>
    <col min="9989" max="9989" width="14.42578125" customWidth="1"/>
    <col min="9991" max="9991" width="20.5703125" bestFit="1" customWidth="1"/>
    <col min="9992" max="9992" width="17.7109375" customWidth="1"/>
    <col min="9993" max="9993" width="10.42578125" customWidth="1"/>
    <col min="9994" max="9994" width="8.42578125" customWidth="1"/>
    <col min="9995" max="9995" width="6.42578125" customWidth="1"/>
    <col min="9996" max="9996" width="22.5703125" customWidth="1"/>
    <col min="10236" max="10236" width="19.5703125" customWidth="1"/>
    <col min="10237" max="10237" width="52.7109375" customWidth="1"/>
    <col min="10242" max="10242" width="11.140625" customWidth="1"/>
    <col min="10243" max="10243" width="14.7109375" customWidth="1"/>
    <col min="10244" max="10244" width="21.140625" customWidth="1"/>
    <col min="10245" max="10245" width="14.42578125" customWidth="1"/>
    <col min="10247" max="10247" width="20.5703125" bestFit="1" customWidth="1"/>
    <col min="10248" max="10248" width="17.7109375" customWidth="1"/>
    <col min="10249" max="10249" width="10.42578125" customWidth="1"/>
    <col min="10250" max="10250" width="8.42578125" customWidth="1"/>
    <col min="10251" max="10251" width="6.42578125" customWidth="1"/>
    <col min="10252" max="10252" width="22.5703125" customWidth="1"/>
    <col min="10492" max="10492" width="19.5703125" customWidth="1"/>
    <col min="10493" max="10493" width="52.7109375" customWidth="1"/>
    <col min="10498" max="10498" width="11.140625" customWidth="1"/>
    <col min="10499" max="10499" width="14.7109375" customWidth="1"/>
    <col min="10500" max="10500" width="21.140625" customWidth="1"/>
    <col min="10501" max="10501" width="14.42578125" customWidth="1"/>
    <col min="10503" max="10503" width="20.5703125" bestFit="1" customWidth="1"/>
    <col min="10504" max="10504" width="17.7109375" customWidth="1"/>
    <col min="10505" max="10505" width="10.42578125" customWidth="1"/>
    <col min="10506" max="10506" width="8.42578125" customWidth="1"/>
    <col min="10507" max="10507" width="6.42578125" customWidth="1"/>
    <col min="10508" max="10508" width="22.5703125" customWidth="1"/>
    <col min="10748" max="10748" width="19.5703125" customWidth="1"/>
    <col min="10749" max="10749" width="52.7109375" customWidth="1"/>
    <col min="10754" max="10754" width="11.140625" customWidth="1"/>
    <col min="10755" max="10755" width="14.7109375" customWidth="1"/>
    <col min="10756" max="10756" width="21.140625" customWidth="1"/>
    <col min="10757" max="10757" width="14.42578125" customWidth="1"/>
    <col min="10759" max="10759" width="20.5703125" bestFit="1" customWidth="1"/>
    <col min="10760" max="10760" width="17.7109375" customWidth="1"/>
    <col min="10761" max="10761" width="10.42578125" customWidth="1"/>
    <col min="10762" max="10762" width="8.42578125" customWidth="1"/>
    <col min="10763" max="10763" width="6.42578125" customWidth="1"/>
    <col min="10764" max="10764" width="22.5703125" customWidth="1"/>
    <col min="11004" max="11004" width="19.5703125" customWidth="1"/>
    <col min="11005" max="11005" width="52.7109375" customWidth="1"/>
    <col min="11010" max="11010" width="11.140625" customWidth="1"/>
    <col min="11011" max="11011" width="14.7109375" customWidth="1"/>
    <col min="11012" max="11012" width="21.140625" customWidth="1"/>
    <col min="11013" max="11013" width="14.42578125" customWidth="1"/>
    <col min="11015" max="11015" width="20.5703125" bestFit="1" customWidth="1"/>
    <col min="11016" max="11016" width="17.7109375" customWidth="1"/>
    <col min="11017" max="11017" width="10.42578125" customWidth="1"/>
    <col min="11018" max="11018" width="8.42578125" customWidth="1"/>
    <col min="11019" max="11019" width="6.42578125" customWidth="1"/>
    <col min="11020" max="11020" width="22.5703125" customWidth="1"/>
    <col min="11260" max="11260" width="19.5703125" customWidth="1"/>
    <col min="11261" max="11261" width="52.7109375" customWidth="1"/>
    <col min="11266" max="11266" width="11.140625" customWidth="1"/>
    <col min="11267" max="11267" width="14.7109375" customWidth="1"/>
    <col min="11268" max="11268" width="21.140625" customWidth="1"/>
    <col min="11269" max="11269" width="14.42578125" customWidth="1"/>
    <col min="11271" max="11271" width="20.5703125" bestFit="1" customWidth="1"/>
    <col min="11272" max="11272" width="17.7109375" customWidth="1"/>
    <col min="11273" max="11273" width="10.42578125" customWidth="1"/>
    <col min="11274" max="11274" width="8.42578125" customWidth="1"/>
    <col min="11275" max="11275" width="6.42578125" customWidth="1"/>
    <col min="11276" max="11276" width="22.5703125" customWidth="1"/>
    <col min="11516" max="11516" width="19.5703125" customWidth="1"/>
    <col min="11517" max="11517" width="52.7109375" customWidth="1"/>
    <col min="11522" max="11522" width="11.140625" customWidth="1"/>
    <col min="11523" max="11523" width="14.7109375" customWidth="1"/>
    <col min="11524" max="11524" width="21.140625" customWidth="1"/>
    <col min="11525" max="11525" width="14.42578125" customWidth="1"/>
    <col min="11527" max="11527" width="20.5703125" bestFit="1" customWidth="1"/>
    <col min="11528" max="11528" width="17.7109375" customWidth="1"/>
    <col min="11529" max="11529" width="10.42578125" customWidth="1"/>
    <col min="11530" max="11530" width="8.42578125" customWidth="1"/>
    <col min="11531" max="11531" width="6.42578125" customWidth="1"/>
    <col min="11532" max="11532" width="22.5703125" customWidth="1"/>
    <col min="11772" max="11772" width="19.5703125" customWidth="1"/>
    <col min="11773" max="11773" width="52.7109375" customWidth="1"/>
    <col min="11778" max="11778" width="11.140625" customWidth="1"/>
    <col min="11779" max="11779" width="14.7109375" customWidth="1"/>
    <col min="11780" max="11780" width="21.140625" customWidth="1"/>
    <col min="11781" max="11781" width="14.42578125" customWidth="1"/>
    <col min="11783" max="11783" width="20.5703125" bestFit="1" customWidth="1"/>
    <col min="11784" max="11784" width="17.7109375" customWidth="1"/>
    <col min="11785" max="11785" width="10.42578125" customWidth="1"/>
    <col min="11786" max="11786" width="8.42578125" customWidth="1"/>
    <col min="11787" max="11787" width="6.42578125" customWidth="1"/>
    <col min="11788" max="11788" width="22.5703125" customWidth="1"/>
    <col min="12028" max="12028" width="19.5703125" customWidth="1"/>
    <col min="12029" max="12029" width="52.7109375" customWidth="1"/>
    <col min="12034" max="12034" width="11.140625" customWidth="1"/>
    <col min="12035" max="12035" width="14.7109375" customWidth="1"/>
    <col min="12036" max="12036" width="21.140625" customWidth="1"/>
    <col min="12037" max="12037" width="14.42578125" customWidth="1"/>
    <col min="12039" max="12039" width="20.5703125" bestFit="1" customWidth="1"/>
    <col min="12040" max="12040" width="17.7109375" customWidth="1"/>
    <col min="12041" max="12041" width="10.42578125" customWidth="1"/>
    <col min="12042" max="12042" width="8.42578125" customWidth="1"/>
    <col min="12043" max="12043" width="6.42578125" customWidth="1"/>
    <col min="12044" max="12044" width="22.5703125" customWidth="1"/>
    <col min="12284" max="12284" width="19.5703125" customWidth="1"/>
    <col min="12285" max="12285" width="52.7109375" customWidth="1"/>
    <col min="12290" max="12290" width="11.140625" customWidth="1"/>
    <col min="12291" max="12291" width="14.7109375" customWidth="1"/>
    <col min="12292" max="12292" width="21.140625" customWidth="1"/>
    <col min="12293" max="12293" width="14.42578125" customWidth="1"/>
    <col min="12295" max="12295" width="20.5703125" bestFit="1" customWidth="1"/>
    <col min="12296" max="12296" width="17.7109375" customWidth="1"/>
    <col min="12297" max="12297" width="10.42578125" customWidth="1"/>
    <col min="12298" max="12298" width="8.42578125" customWidth="1"/>
    <col min="12299" max="12299" width="6.42578125" customWidth="1"/>
    <col min="12300" max="12300" width="22.5703125" customWidth="1"/>
    <col min="12540" max="12540" width="19.5703125" customWidth="1"/>
    <col min="12541" max="12541" width="52.7109375" customWidth="1"/>
    <col min="12546" max="12546" width="11.140625" customWidth="1"/>
    <col min="12547" max="12547" width="14.7109375" customWidth="1"/>
    <col min="12548" max="12548" width="21.140625" customWidth="1"/>
    <col min="12549" max="12549" width="14.42578125" customWidth="1"/>
    <col min="12551" max="12551" width="20.5703125" bestFit="1" customWidth="1"/>
    <col min="12552" max="12552" width="17.7109375" customWidth="1"/>
    <col min="12553" max="12553" width="10.42578125" customWidth="1"/>
    <col min="12554" max="12554" width="8.42578125" customWidth="1"/>
    <col min="12555" max="12555" width="6.42578125" customWidth="1"/>
    <col min="12556" max="12556" width="22.5703125" customWidth="1"/>
    <col min="12796" max="12796" width="19.5703125" customWidth="1"/>
    <col min="12797" max="12797" width="52.7109375" customWidth="1"/>
    <col min="12802" max="12802" width="11.140625" customWidth="1"/>
    <col min="12803" max="12803" width="14.7109375" customWidth="1"/>
    <col min="12804" max="12804" width="21.140625" customWidth="1"/>
    <col min="12805" max="12805" width="14.42578125" customWidth="1"/>
    <col min="12807" max="12807" width="20.5703125" bestFit="1" customWidth="1"/>
    <col min="12808" max="12808" width="17.7109375" customWidth="1"/>
    <col min="12809" max="12809" width="10.42578125" customWidth="1"/>
    <col min="12810" max="12810" width="8.42578125" customWidth="1"/>
    <col min="12811" max="12811" width="6.42578125" customWidth="1"/>
    <col min="12812" max="12812" width="22.5703125" customWidth="1"/>
    <col min="13052" max="13052" width="19.5703125" customWidth="1"/>
    <col min="13053" max="13053" width="52.7109375" customWidth="1"/>
    <col min="13058" max="13058" width="11.140625" customWidth="1"/>
    <col min="13059" max="13059" width="14.7109375" customWidth="1"/>
    <col min="13060" max="13060" width="21.140625" customWidth="1"/>
    <col min="13061" max="13061" width="14.42578125" customWidth="1"/>
    <col min="13063" max="13063" width="20.5703125" bestFit="1" customWidth="1"/>
    <col min="13064" max="13064" width="17.7109375" customWidth="1"/>
    <col min="13065" max="13065" width="10.42578125" customWidth="1"/>
    <col min="13066" max="13066" width="8.42578125" customWidth="1"/>
    <col min="13067" max="13067" width="6.42578125" customWidth="1"/>
    <col min="13068" max="13068" width="22.5703125" customWidth="1"/>
    <col min="13308" max="13308" width="19.5703125" customWidth="1"/>
    <col min="13309" max="13309" width="52.7109375" customWidth="1"/>
    <col min="13314" max="13314" width="11.140625" customWidth="1"/>
    <col min="13315" max="13315" width="14.7109375" customWidth="1"/>
    <col min="13316" max="13316" width="21.140625" customWidth="1"/>
    <col min="13317" max="13317" width="14.42578125" customWidth="1"/>
    <col min="13319" max="13319" width="20.5703125" bestFit="1" customWidth="1"/>
    <col min="13320" max="13320" width="17.7109375" customWidth="1"/>
    <col min="13321" max="13321" width="10.42578125" customWidth="1"/>
    <col min="13322" max="13322" width="8.42578125" customWidth="1"/>
    <col min="13323" max="13323" width="6.42578125" customWidth="1"/>
    <col min="13324" max="13324" width="22.5703125" customWidth="1"/>
    <col min="13564" max="13564" width="19.5703125" customWidth="1"/>
    <col min="13565" max="13565" width="52.7109375" customWidth="1"/>
    <col min="13570" max="13570" width="11.140625" customWidth="1"/>
    <col min="13571" max="13571" width="14.7109375" customWidth="1"/>
    <col min="13572" max="13572" width="21.140625" customWidth="1"/>
    <col min="13573" max="13573" width="14.42578125" customWidth="1"/>
    <col min="13575" max="13575" width="20.5703125" bestFit="1" customWidth="1"/>
    <col min="13576" max="13576" width="17.7109375" customWidth="1"/>
    <col min="13577" max="13577" width="10.42578125" customWidth="1"/>
    <col min="13578" max="13578" width="8.42578125" customWidth="1"/>
    <col min="13579" max="13579" width="6.42578125" customWidth="1"/>
    <col min="13580" max="13580" width="22.5703125" customWidth="1"/>
    <col min="13820" max="13820" width="19.5703125" customWidth="1"/>
    <col min="13821" max="13821" width="52.7109375" customWidth="1"/>
    <col min="13826" max="13826" width="11.140625" customWidth="1"/>
    <col min="13827" max="13827" width="14.7109375" customWidth="1"/>
    <col min="13828" max="13828" width="21.140625" customWidth="1"/>
    <col min="13829" max="13829" width="14.42578125" customWidth="1"/>
    <col min="13831" max="13831" width="20.5703125" bestFit="1" customWidth="1"/>
    <col min="13832" max="13832" width="17.7109375" customWidth="1"/>
    <col min="13833" max="13833" width="10.42578125" customWidth="1"/>
    <col min="13834" max="13834" width="8.42578125" customWidth="1"/>
    <col min="13835" max="13835" width="6.42578125" customWidth="1"/>
    <col min="13836" max="13836" width="22.5703125" customWidth="1"/>
    <col min="14076" max="14076" width="19.5703125" customWidth="1"/>
    <col min="14077" max="14077" width="52.7109375" customWidth="1"/>
    <col min="14082" max="14082" width="11.140625" customWidth="1"/>
    <col min="14083" max="14083" width="14.7109375" customWidth="1"/>
    <col min="14084" max="14084" width="21.140625" customWidth="1"/>
    <col min="14085" max="14085" width="14.42578125" customWidth="1"/>
    <col min="14087" max="14087" width="20.5703125" bestFit="1" customWidth="1"/>
    <col min="14088" max="14088" width="17.7109375" customWidth="1"/>
    <col min="14089" max="14089" width="10.42578125" customWidth="1"/>
    <col min="14090" max="14090" width="8.42578125" customWidth="1"/>
    <col min="14091" max="14091" width="6.42578125" customWidth="1"/>
    <col min="14092" max="14092" width="22.5703125" customWidth="1"/>
    <col min="14332" max="14332" width="19.5703125" customWidth="1"/>
    <col min="14333" max="14333" width="52.7109375" customWidth="1"/>
    <col min="14338" max="14338" width="11.140625" customWidth="1"/>
    <col min="14339" max="14339" width="14.7109375" customWidth="1"/>
    <col min="14340" max="14340" width="21.140625" customWidth="1"/>
    <col min="14341" max="14341" width="14.42578125" customWidth="1"/>
    <col min="14343" max="14343" width="20.5703125" bestFit="1" customWidth="1"/>
    <col min="14344" max="14344" width="17.7109375" customWidth="1"/>
    <col min="14345" max="14345" width="10.42578125" customWidth="1"/>
    <col min="14346" max="14346" width="8.42578125" customWidth="1"/>
    <col min="14347" max="14347" width="6.42578125" customWidth="1"/>
    <col min="14348" max="14348" width="22.5703125" customWidth="1"/>
    <col min="14588" max="14588" width="19.5703125" customWidth="1"/>
    <col min="14589" max="14589" width="52.7109375" customWidth="1"/>
    <col min="14594" max="14594" width="11.140625" customWidth="1"/>
    <col min="14595" max="14595" width="14.7109375" customWidth="1"/>
    <col min="14596" max="14596" width="21.140625" customWidth="1"/>
    <col min="14597" max="14597" width="14.42578125" customWidth="1"/>
    <col min="14599" max="14599" width="20.5703125" bestFit="1" customWidth="1"/>
    <col min="14600" max="14600" width="17.7109375" customWidth="1"/>
    <col min="14601" max="14601" width="10.42578125" customWidth="1"/>
    <col min="14602" max="14602" width="8.42578125" customWidth="1"/>
    <col min="14603" max="14603" width="6.42578125" customWidth="1"/>
    <col min="14604" max="14604" width="22.5703125" customWidth="1"/>
    <col min="14844" max="14844" width="19.5703125" customWidth="1"/>
    <col min="14845" max="14845" width="52.7109375" customWidth="1"/>
    <col min="14850" max="14850" width="11.140625" customWidth="1"/>
    <col min="14851" max="14851" width="14.7109375" customWidth="1"/>
    <col min="14852" max="14852" width="21.140625" customWidth="1"/>
    <col min="14853" max="14853" width="14.42578125" customWidth="1"/>
    <col min="14855" max="14855" width="20.5703125" bestFit="1" customWidth="1"/>
    <col min="14856" max="14856" width="17.7109375" customWidth="1"/>
    <col min="14857" max="14857" width="10.42578125" customWidth="1"/>
    <col min="14858" max="14858" width="8.42578125" customWidth="1"/>
    <col min="14859" max="14859" width="6.42578125" customWidth="1"/>
    <col min="14860" max="14860" width="22.5703125" customWidth="1"/>
    <col min="15100" max="15100" width="19.5703125" customWidth="1"/>
    <col min="15101" max="15101" width="52.7109375" customWidth="1"/>
    <col min="15106" max="15106" width="11.140625" customWidth="1"/>
    <col min="15107" max="15107" width="14.7109375" customWidth="1"/>
    <col min="15108" max="15108" width="21.140625" customWidth="1"/>
    <col min="15109" max="15109" width="14.42578125" customWidth="1"/>
    <col min="15111" max="15111" width="20.5703125" bestFit="1" customWidth="1"/>
    <col min="15112" max="15112" width="17.7109375" customWidth="1"/>
    <col min="15113" max="15113" width="10.42578125" customWidth="1"/>
    <col min="15114" max="15114" width="8.42578125" customWidth="1"/>
    <col min="15115" max="15115" width="6.42578125" customWidth="1"/>
    <col min="15116" max="15116" width="22.5703125" customWidth="1"/>
    <col min="15356" max="15356" width="19.5703125" customWidth="1"/>
    <col min="15357" max="15357" width="52.7109375" customWidth="1"/>
    <col min="15362" max="15362" width="11.140625" customWidth="1"/>
    <col min="15363" max="15363" width="14.7109375" customWidth="1"/>
    <col min="15364" max="15364" width="21.140625" customWidth="1"/>
    <col min="15365" max="15365" width="14.42578125" customWidth="1"/>
    <col min="15367" max="15367" width="20.5703125" bestFit="1" customWidth="1"/>
    <col min="15368" max="15368" width="17.7109375" customWidth="1"/>
    <col min="15369" max="15369" width="10.42578125" customWidth="1"/>
    <col min="15370" max="15370" width="8.42578125" customWidth="1"/>
    <col min="15371" max="15371" width="6.42578125" customWidth="1"/>
    <col min="15372" max="15372" width="22.5703125" customWidth="1"/>
    <col min="15612" max="15612" width="19.5703125" customWidth="1"/>
    <col min="15613" max="15613" width="52.7109375" customWidth="1"/>
    <col min="15618" max="15618" width="11.140625" customWidth="1"/>
    <col min="15619" max="15619" width="14.7109375" customWidth="1"/>
    <col min="15620" max="15620" width="21.140625" customWidth="1"/>
    <col min="15621" max="15621" width="14.42578125" customWidth="1"/>
    <col min="15623" max="15623" width="20.5703125" bestFit="1" customWidth="1"/>
    <col min="15624" max="15624" width="17.7109375" customWidth="1"/>
    <col min="15625" max="15625" width="10.42578125" customWidth="1"/>
    <col min="15626" max="15626" width="8.42578125" customWidth="1"/>
    <col min="15627" max="15627" width="6.42578125" customWidth="1"/>
    <col min="15628" max="15628" width="22.5703125" customWidth="1"/>
    <col min="15868" max="15868" width="19.5703125" customWidth="1"/>
    <col min="15869" max="15869" width="52.7109375" customWidth="1"/>
    <col min="15874" max="15874" width="11.140625" customWidth="1"/>
    <col min="15875" max="15875" width="14.7109375" customWidth="1"/>
    <col min="15876" max="15876" width="21.140625" customWidth="1"/>
    <col min="15877" max="15877" width="14.42578125" customWidth="1"/>
    <col min="15879" max="15879" width="20.5703125" bestFit="1" customWidth="1"/>
    <col min="15880" max="15880" width="17.7109375" customWidth="1"/>
    <col min="15881" max="15881" width="10.42578125" customWidth="1"/>
    <col min="15882" max="15882" width="8.42578125" customWidth="1"/>
    <col min="15883" max="15883" width="6.42578125" customWidth="1"/>
    <col min="15884" max="15884" width="22.5703125" customWidth="1"/>
    <col min="16124" max="16124" width="19.5703125" customWidth="1"/>
    <col min="16125" max="16125" width="52.7109375" customWidth="1"/>
    <col min="16130" max="16130" width="11.140625" customWidth="1"/>
    <col min="16131" max="16131" width="14.7109375" customWidth="1"/>
    <col min="16132" max="16132" width="21.140625" customWidth="1"/>
    <col min="16133" max="16133" width="14.42578125" customWidth="1"/>
    <col min="16135" max="16135" width="20.5703125" bestFit="1" customWidth="1"/>
    <col min="16136" max="16136" width="17.7109375" customWidth="1"/>
    <col min="16137" max="16137" width="10.42578125" customWidth="1"/>
    <col min="16138" max="16138" width="8.42578125" customWidth="1"/>
    <col min="16139" max="16139" width="6.42578125" customWidth="1"/>
    <col min="16140" max="16140" width="22.5703125" customWidth="1"/>
  </cols>
  <sheetData>
    <row r="1" spans="1:20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83" t="s">
        <v>29</v>
      </c>
      <c r="H1" s="83" t="s">
        <v>478</v>
      </c>
      <c r="I1" s="52" t="s">
        <v>388</v>
      </c>
      <c r="J1" s="83" t="s">
        <v>44</v>
      </c>
      <c r="K1" s="83" t="s">
        <v>45</v>
      </c>
      <c r="L1" s="83" t="s">
        <v>46</v>
      </c>
      <c r="M1" s="52" t="s">
        <v>386</v>
      </c>
      <c r="N1" s="83" t="s">
        <v>47</v>
      </c>
      <c r="O1" s="83" t="s">
        <v>48</v>
      </c>
      <c r="P1" s="83" t="s">
        <v>49</v>
      </c>
      <c r="Q1" s="131" t="s">
        <v>479</v>
      </c>
      <c r="R1" s="131" t="s">
        <v>50</v>
      </c>
    </row>
    <row r="2" spans="1:20" ht="18" customHeight="1" x14ac:dyDescent="0.25">
      <c r="A2" s="167" t="s">
        <v>81</v>
      </c>
      <c r="B2" s="86" t="s">
        <v>82</v>
      </c>
      <c r="C2" s="87" t="s">
        <v>83</v>
      </c>
      <c r="D2" s="134" t="str" cm="1">
        <f t="array" aca="1" ref="D2" ca="1">_xlfn.LET(_xlpm.filepath,CELL("filename",D2),MID(_xlpm.filepath,FIND("]",_xlpm.filepath)+1,3))</f>
        <v>007</v>
      </c>
      <c r="E2" s="135" t="s">
        <v>84</v>
      </c>
      <c r="F2" s="89" t="str">
        <f>"S"&amp;E2&amp;"+"</f>
        <v>S1+</v>
      </c>
      <c r="G2" s="94" t="s">
        <v>85</v>
      </c>
      <c r="H2" s="94" t="s">
        <v>86</v>
      </c>
      <c r="I2" s="66" t="str">
        <f>E2&amp;"a"</f>
        <v>1a</v>
      </c>
      <c r="J2" s="216" t="s">
        <v>87</v>
      </c>
      <c r="K2" s="216" t="s">
        <v>459</v>
      </c>
      <c r="L2" s="66" t="s">
        <v>450</v>
      </c>
      <c r="M2" s="66" t="s">
        <v>440</v>
      </c>
      <c r="N2" s="217" t="str">
        <f ca="1">D2&amp;"/"&amp;F2</f>
        <v>007/S1+</v>
      </c>
      <c r="O2" s="66" t="s">
        <v>491</v>
      </c>
      <c r="P2" s="66">
        <v>8</v>
      </c>
      <c r="Q2" s="253" t="s">
        <v>465</v>
      </c>
      <c r="R2" s="69">
        <v>0</v>
      </c>
    </row>
    <row r="3" spans="1:20" ht="18" customHeight="1" x14ac:dyDescent="0.25">
      <c r="A3" s="168"/>
      <c r="B3" s="138"/>
      <c r="C3" s="139"/>
      <c r="D3" s="140"/>
      <c r="E3" s="141"/>
      <c r="F3" s="117" t="str">
        <f>"DI"&amp;E2&amp;"+"</f>
        <v>DI1+</v>
      </c>
      <c r="G3" s="139"/>
      <c r="H3" s="139"/>
      <c r="I3" s="55" t="str">
        <f>E2&amp;"b"</f>
        <v>1b</v>
      </c>
      <c r="J3" s="139"/>
      <c r="K3" s="139"/>
      <c r="L3" s="55" t="s">
        <v>378</v>
      </c>
      <c r="M3" s="55" t="s">
        <v>440</v>
      </c>
      <c r="N3" s="117" t="str">
        <f ca="1">D2&amp;"/"&amp;F3</f>
        <v>007/DI1+</v>
      </c>
      <c r="O3" s="55" t="s">
        <v>491</v>
      </c>
      <c r="P3" s="55">
        <v>9</v>
      </c>
      <c r="Q3" s="142"/>
      <c r="R3" s="57"/>
    </row>
    <row r="4" spans="1:20" ht="18" customHeight="1" x14ac:dyDescent="0.25">
      <c r="A4" s="169" t="s">
        <v>88</v>
      </c>
      <c r="B4" s="101" t="s">
        <v>89</v>
      </c>
      <c r="C4" s="102" t="s">
        <v>83</v>
      </c>
      <c r="D4" s="143" t="str" cm="1">
        <f t="array" aca="1" ref="D4" ca="1">_xlfn.LET(_xlpm.filepath,CELL("filename",D4),MID(_xlpm.filepath,FIND("]",_xlpm.filepath)+1,3))</f>
        <v>007</v>
      </c>
      <c r="E4" s="144" t="s">
        <v>90</v>
      </c>
      <c r="F4" s="104" t="str">
        <f>"S"&amp;E4&amp;"+"</f>
        <v>S2+</v>
      </c>
      <c r="G4" s="102" t="str">
        <f>G2</f>
        <v>X-DI 32 05</v>
      </c>
      <c r="H4" s="102" t="str">
        <f>H2</f>
        <v>X-CB 005 01</v>
      </c>
      <c r="I4" s="58" t="str">
        <f>E4&amp;"a"</f>
        <v>2a</v>
      </c>
      <c r="J4" s="102" t="s">
        <v>87</v>
      </c>
      <c r="K4" s="102" t="s">
        <v>374</v>
      </c>
      <c r="L4" s="58" t="s">
        <v>450</v>
      </c>
      <c r="M4" s="58" t="s">
        <v>440</v>
      </c>
      <c r="N4" s="104" t="str">
        <f ca="1">D4&amp;"/"&amp;F4</f>
        <v>007/S2+</v>
      </c>
      <c r="O4" s="58" t="s">
        <v>380</v>
      </c>
      <c r="P4" s="58">
        <v>3</v>
      </c>
      <c r="Q4" s="256" t="s">
        <v>465</v>
      </c>
      <c r="R4" s="287" t="s">
        <v>91</v>
      </c>
    </row>
    <row r="5" spans="1:20" ht="18" customHeight="1" x14ac:dyDescent="0.25">
      <c r="A5" s="170"/>
      <c r="B5" s="126"/>
      <c r="C5" s="127"/>
      <c r="D5" s="145"/>
      <c r="E5" s="146"/>
      <c r="F5" s="147" t="str">
        <f>"DI"&amp;E4&amp;"+"</f>
        <v>DI2+</v>
      </c>
      <c r="G5" s="127"/>
      <c r="H5" s="127"/>
      <c r="I5" s="59" t="str">
        <f>E4&amp;"b"</f>
        <v>2b</v>
      </c>
      <c r="J5" s="129"/>
      <c r="K5" s="127"/>
      <c r="L5" s="59" t="s">
        <v>378</v>
      </c>
      <c r="M5" s="59" t="s">
        <v>440</v>
      </c>
      <c r="N5" s="147" t="str">
        <f ca="1">D4&amp;"/"&amp;F5</f>
        <v>007/DI2+</v>
      </c>
      <c r="O5" s="59" t="s">
        <v>380</v>
      </c>
      <c r="P5" s="59">
        <v>5</v>
      </c>
      <c r="Q5" s="128"/>
      <c r="R5" s="130"/>
    </row>
    <row r="6" spans="1:20" ht="18" customHeight="1" x14ac:dyDescent="0.25">
      <c r="A6" s="171" t="s">
        <v>92</v>
      </c>
      <c r="B6" s="120" t="s">
        <v>93</v>
      </c>
      <c r="C6" s="121" t="s">
        <v>83</v>
      </c>
      <c r="D6" s="148" t="str" cm="1">
        <f t="array" aca="1" ref="D6" ca="1">_xlfn.LET(_xlpm.filepath,CELL("filename",D6),MID(_xlpm.filepath,FIND("]",_xlpm.filepath)+1,3))</f>
        <v>007</v>
      </c>
      <c r="E6" s="149">
        <v>3</v>
      </c>
      <c r="F6" s="123" t="str">
        <f>"S"&amp;E6&amp;"+"</f>
        <v>S3+</v>
      </c>
      <c r="G6" s="121" t="str">
        <f>G4</f>
        <v>X-DI 32 05</v>
      </c>
      <c r="H6" s="121" t="str">
        <f>H2</f>
        <v>X-CB 005 01</v>
      </c>
      <c r="I6" s="53" t="str">
        <f>E6&amp;"a"</f>
        <v>3a</v>
      </c>
      <c r="J6" s="121" t="s">
        <v>87</v>
      </c>
      <c r="K6" s="121" t="s">
        <v>460</v>
      </c>
      <c r="L6" s="53" t="s">
        <v>450</v>
      </c>
      <c r="M6" s="53" t="s">
        <v>440</v>
      </c>
      <c r="N6" s="123" t="str">
        <f ca="1">D6&amp;"/"&amp;F6</f>
        <v>007/S3+</v>
      </c>
      <c r="O6" s="53" t="s">
        <v>492</v>
      </c>
      <c r="P6" s="53">
        <v>13</v>
      </c>
      <c r="Q6" s="257" t="s">
        <v>465</v>
      </c>
      <c r="R6" s="255">
        <v>0</v>
      </c>
    </row>
    <row r="7" spans="1:20" ht="18" customHeight="1" x14ac:dyDescent="0.25">
      <c r="A7" s="168"/>
      <c r="B7" s="138"/>
      <c r="C7" s="139"/>
      <c r="D7" s="140"/>
      <c r="E7" s="141"/>
      <c r="F7" s="117" t="str">
        <f>"DI"&amp;E6&amp;"+"</f>
        <v>DI3+</v>
      </c>
      <c r="G7" s="139"/>
      <c r="H7" s="139"/>
      <c r="I7" s="55" t="str">
        <f>E6&amp;"b"</f>
        <v>3b</v>
      </c>
      <c r="J7" s="139"/>
      <c r="K7" s="139"/>
      <c r="L7" s="55" t="s">
        <v>378</v>
      </c>
      <c r="M7" s="55" t="s">
        <v>440</v>
      </c>
      <c r="N7" s="117" t="str">
        <f ca="1">D6&amp;"/"&amp;F7</f>
        <v>007/DI3+</v>
      </c>
      <c r="O7" s="55" t="s">
        <v>492</v>
      </c>
      <c r="P7" s="55">
        <v>14</v>
      </c>
      <c r="Q7" s="142"/>
      <c r="R7" s="151"/>
    </row>
    <row r="8" spans="1:20" ht="18" customHeight="1" x14ac:dyDescent="0.25">
      <c r="A8" s="169" t="s">
        <v>94</v>
      </c>
      <c r="B8" s="101" t="s">
        <v>95</v>
      </c>
      <c r="C8" s="102" t="s">
        <v>83</v>
      </c>
      <c r="D8" s="143" t="str" cm="1">
        <f t="array" aca="1" ref="D8" ca="1">_xlfn.LET(_xlpm.filepath,CELL("filename",D8),MID(_xlpm.filepath,FIND("]",_xlpm.filepath)+1,3))</f>
        <v>007</v>
      </c>
      <c r="E8" s="144" t="s">
        <v>96</v>
      </c>
      <c r="F8" s="104" t="str">
        <f t="shared" ref="F8" si="0">"S"&amp;E8&amp;"+"</f>
        <v>S4+</v>
      </c>
      <c r="G8" s="102" t="str">
        <f>G6</f>
        <v>X-DI 32 05</v>
      </c>
      <c r="H8" s="102" t="str">
        <f>H6</f>
        <v>X-CB 005 01</v>
      </c>
      <c r="I8" s="58" t="str">
        <f t="shared" ref="I8" si="1">E8&amp;"a"</f>
        <v>4a</v>
      </c>
      <c r="J8" s="102" t="s">
        <v>87</v>
      </c>
      <c r="K8" s="102" t="s">
        <v>461</v>
      </c>
      <c r="L8" s="58" t="s">
        <v>450</v>
      </c>
      <c r="M8" s="58" t="s">
        <v>440</v>
      </c>
      <c r="N8" s="104" t="str">
        <f ca="1">D8&amp;"/"&amp;F8</f>
        <v>007/S4+</v>
      </c>
      <c r="O8" s="58" t="s">
        <v>493</v>
      </c>
      <c r="P8" s="58">
        <v>13</v>
      </c>
      <c r="Q8" s="256" t="s">
        <v>465</v>
      </c>
      <c r="R8" s="287" t="s">
        <v>91</v>
      </c>
    </row>
    <row r="9" spans="1:20" ht="18" customHeight="1" x14ac:dyDescent="0.25">
      <c r="A9" s="170"/>
      <c r="B9" s="126"/>
      <c r="C9" s="127"/>
      <c r="D9" s="145"/>
      <c r="E9" s="146"/>
      <c r="F9" s="147" t="str">
        <f t="shared" ref="F9" si="2">"DI"&amp;E8&amp;"+"</f>
        <v>DI4+</v>
      </c>
      <c r="G9" s="127"/>
      <c r="H9" s="127"/>
      <c r="I9" s="59" t="str">
        <f t="shared" ref="I9" si="3">E8&amp;"b"</f>
        <v>4b</v>
      </c>
      <c r="J9" s="129"/>
      <c r="K9" s="127"/>
      <c r="L9" s="59" t="s">
        <v>378</v>
      </c>
      <c r="M9" s="59" t="s">
        <v>440</v>
      </c>
      <c r="N9" s="147" t="str">
        <f ca="1">D8&amp;"/"&amp;F9</f>
        <v>007/DI4+</v>
      </c>
      <c r="O9" s="59" t="s">
        <v>493</v>
      </c>
      <c r="P9" s="59">
        <v>14</v>
      </c>
      <c r="Q9" s="128"/>
      <c r="R9" s="130"/>
    </row>
    <row r="10" spans="1:20" ht="18" customHeight="1" x14ac:dyDescent="0.25">
      <c r="A10" s="324" t="s">
        <v>661</v>
      </c>
      <c r="B10" s="282" t="s">
        <v>662</v>
      </c>
      <c r="C10" s="121" t="s">
        <v>83</v>
      </c>
      <c r="D10" s="148" t="str" cm="1">
        <f t="array" aca="1" ref="D10" ca="1">_xlfn.LET(_xlpm.filepath,CELL("filename",D10),MID(_xlpm.filepath,FIND("]",_xlpm.filepath)+1,3))</f>
        <v>007</v>
      </c>
      <c r="E10" s="149">
        <v>5</v>
      </c>
      <c r="F10" s="123" t="str">
        <f t="shared" ref="F10" si="4">"S"&amp;E10&amp;"+"</f>
        <v>S5+</v>
      </c>
      <c r="G10" s="121" t="str">
        <f>G8</f>
        <v>X-DI 32 05</v>
      </c>
      <c r="H10" s="121" t="str">
        <f>H6</f>
        <v>X-CB 005 01</v>
      </c>
      <c r="I10" s="53" t="str">
        <f t="shared" ref="I10" si="5">E10&amp;"a"</f>
        <v>5a</v>
      </c>
      <c r="J10" s="121" t="s">
        <v>87</v>
      </c>
      <c r="K10" s="121" t="s">
        <v>462</v>
      </c>
      <c r="L10" s="53" t="s">
        <v>450</v>
      </c>
      <c r="M10" s="53" t="s">
        <v>440</v>
      </c>
      <c r="N10" s="123" t="str">
        <f ca="1">D10&amp;"/"&amp;F10</f>
        <v>007/S5+</v>
      </c>
      <c r="O10" s="278" t="s">
        <v>659</v>
      </c>
      <c r="P10" s="53">
        <v>13</v>
      </c>
      <c r="Q10" s="257" t="s">
        <v>465</v>
      </c>
      <c r="R10" s="255" t="s">
        <v>674</v>
      </c>
      <c r="T10" s="285" t="s">
        <v>665</v>
      </c>
    </row>
    <row r="11" spans="1:20" ht="18" customHeight="1" x14ac:dyDescent="0.25">
      <c r="A11" s="168"/>
      <c r="B11" s="138"/>
      <c r="C11" s="139"/>
      <c r="D11" s="140"/>
      <c r="E11" s="141"/>
      <c r="F11" s="117" t="str">
        <f t="shared" ref="F11" si="6">"DI"&amp;E10&amp;"+"</f>
        <v>DI5+</v>
      </c>
      <c r="G11" s="139"/>
      <c r="H11" s="139"/>
      <c r="I11" s="55" t="str">
        <f t="shared" ref="I11" si="7">E10&amp;"b"</f>
        <v>5b</v>
      </c>
      <c r="J11" s="139"/>
      <c r="K11" s="139"/>
      <c r="L11" s="55" t="s">
        <v>378</v>
      </c>
      <c r="M11" s="55" t="s">
        <v>440</v>
      </c>
      <c r="N11" s="117" t="str">
        <f ca="1">D10&amp;"/"&amp;F11</f>
        <v>007/DI5+</v>
      </c>
      <c r="O11" s="279" t="s">
        <v>659</v>
      </c>
      <c r="P11" s="55">
        <v>14</v>
      </c>
      <c r="Q11" s="142"/>
      <c r="R11" s="151"/>
    </row>
    <row r="12" spans="1:20" ht="18" customHeight="1" x14ac:dyDescent="0.25">
      <c r="A12" s="283" t="s">
        <v>97</v>
      </c>
      <c r="B12" s="284" t="s">
        <v>98</v>
      </c>
      <c r="C12" s="102" t="s">
        <v>83</v>
      </c>
      <c r="D12" s="143" t="str" cm="1">
        <f t="array" aca="1" ref="D12" ca="1">_xlfn.LET(_xlpm.filepath,CELL("filename",D12),MID(_xlpm.filepath,FIND("]",_xlpm.filepath)+1,3))</f>
        <v>007</v>
      </c>
      <c r="E12" s="144" t="s">
        <v>101</v>
      </c>
      <c r="F12" s="104" t="str">
        <f t="shared" ref="F12" si="8">"S"&amp;E12&amp;"+"</f>
        <v>S6+</v>
      </c>
      <c r="G12" s="102" t="str">
        <f>G10</f>
        <v>X-DI 32 05</v>
      </c>
      <c r="H12" s="102" t="str">
        <f>H10</f>
        <v>X-CB 005 01</v>
      </c>
      <c r="I12" s="58" t="str">
        <f t="shared" ref="I12" si="9">E12&amp;"a"</f>
        <v>6a</v>
      </c>
      <c r="J12" s="102" t="s">
        <v>87</v>
      </c>
      <c r="K12" s="102" t="s">
        <v>463</v>
      </c>
      <c r="L12" s="58" t="s">
        <v>450</v>
      </c>
      <c r="M12" s="58" t="s">
        <v>440</v>
      </c>
      <c r="N12" s="104" t="str">
        <f ca="1">D12&amp;"/"&amp;F12</f>
        <v>007/S6+</v>
      </c>
      <c r="O12" s="58" t="s">
        <v>494</v>
      </c>
      <c r="P12" s="58">
        <v>13</v>
      </c>
      <c r="Q12" s="256" t="s">
        <v>465</v>
      </c>
      <c r="R12" s="254" t="s">
        <v>674</v>
      </c>
      <c r="T12" s="286" t="s">
        <v>666</v>
      </c>
    </row>
    <row r="13" spans="1:20" ht="18" customHeight="1" x14ac:dyDescent="0.25">
      <c r="A13" s="170"/>
      <c r="B13" s="126"/>
      <c r="C13" s="127"/>
      <c r="D13" s="145"/>
      <c r="E13" s="146"/>
      <c r="F13" s="147" t="str">
        <f t="shared" ref="F13" si="10">"DI"&amp;E12&amp;"+"</f>
        <v>DI6+</v>
      </c>
      <c r="G13" s="127"/>
      <c r="H13" s="127"/>
      <c r="I13" s="59" t="str">
        <f t="shared" ref="I13" si="11">E12&amp;"b"</f>
        <v>6b</v>
      </c>
      <c r="J13" s="129"/>
      <c r="K13" s="127"/>
      <c r="L13" s="59" t="s">
        <v>378</v>
      </c>
      <c r="M13" s="59" t="s">
        <v>440</v>
      </c>
      <c r="N13" s="147" t="str">
        <f ca="1">D12&amp;"/"&amp;F13</f>
        <v>007/DI6+</v>
      </c>
      <c r="O13" s="59" t="s">
        <v>494</v>
      </c>
      <c r="P13" s="59">
        <v>14</v>
      </c>
      <c r="Q13" s="128"/>
      <c r="R13" s="130"/>
    </row>
    <row r="14" spans="1:20" ht="18" customHeight="1" x14ac:dyDescent="0.25">
      <c r="A14" s="171" t="s">
        <v>99</v>
      </c>
      <c r="B14" s="120" t="s">
        <v>100</v>
      </c>
      <c r="C14" s="121" t="s">
        <v>83</v>
      </c>
      <c r="D14" s="148" t="str" cm="1">
        <f t="array" aca="1" ref="D14" ca="1">_xlfn.LET(_xlpm.filepath,CELL("filename",D14),MID(_xlpm.filepath,FIND("]",_xlpm.filepath)+1,3))</f>
        <v>007</v>
      </c>
      <c r="E14" s="149">
        <v>7</v>
      </c>
      <c r="F14" s="123" t="str">
        <f t="shared" ref="F14" si="12">"S"&amp;E14&amp;"+"</f>
        <v>S7+</v>
      </c>
      <c r="G14" s="121" t="str">
        <f>G12</f>
        <v>X-DI 32 05</v>
      </c>
      <c r="H14" s="121" t="str">
        <f>H10</f>
        <v>X-CB 005 01</v>
      </c>
      <c r="I14" s="53" t="str">
        <f t="shared" ref="I14" si="13">E14&amp;"a"</f>
        <v>7a</v>
      </c>
      <c r="J14" s="121" t="s">
        <v>87</v>
      </c>
      <c r="K14" s="121" t="s">
        <v>464</v>
      </c>
      <c r="L14" s="53" t="s">
        <v>450</v>
      </c>
      <c r="M14" s="53" t="s">
        <v>440</v>
      </c>
      <c r="N14" s="123" t="str">
        <f ca="1">D14&amp;"/"&amp;F14</f>
        <v>007/S7+</v>
      </c>
      <c r="O14" s="53" t="s">
        <v>495</v>
      </c>
      <c r="P14" s="53">
        <v>13</v>
      </c>
      <c r="Q14" s="257" t="s">
        <v>465</v>
      </c>
      <c r="R14" s="255" t="s">
        <v>674</v>
      </c>
      <c r="T14" s="285" t="s">
        <v>666</v>
      </c>
    </row>
    <row r="15" spans="1:20" ht="18" customHeight="1" x14ac:dyDescent="0.25">
      <c r="A15" s="168"/>
      <c r="B15" s="138"/>
      <c r="C15" s="139"/>
      <c r="D15" s="140"/>
      <c r="E15" s="141"/>
      <c r="F15" s="117" t="str">
        <f t="shared" ref="F15" si="14">"DI"&amp;E14&amp;"+"</f>
        <v>DI7+</v>
      </c>
      <c r="G15" s="139"/>
      <c r="H15" s="139"/>
      <c r="I15" s="55" t="str">
        <f t="shared" ref="I15" si="15">E14&amp;"b"</f>
        <v>7b</v>
      </c>
      <c r="J15" s="139"/>
      <c r="K15" s="139"/>
      <c r="L15" s="55" t="s">
        <v>378</v>
      </c>
      <c r="M15" s="55" t="s">
        <v>440</v>
      </c>
      <c r="N15" s="117" t="str">
        <f ca="1">D14&amp;"/"&amp;F15</f>
        <v>007/DI7+</v>
      </c>
      <c r="O15" s="55" t="s">
        <v>495</v>
      </c>
      <c r="P15" s="55">
        <v>14</v>
      </c>
      <c r="Q15" s="142"/>
      <c r="R15" s="151"/>
    </row>
    <row r="16" spans="1:20" ht="18" customHeight="1" x14ac:dyDescent="0.25">
      <c r="A16" s="283" t="s">
        <v>663</v>
      </c>
      <c r="B16" s="284" t="s">
        <v>664</v>
      </c>
      <c r="C16" s="102" t="s">
        <v>83</v>
      </c>
      <c r="D16" s="143" t="str" cm="1">
        <f t="array" aca="1" ref="D16" ca="1">_xlfn.LET(_xlpm.filepath,CELL("filename",D16),MID(_xlpm.filepath,FIND("]",_xlpm.filepath)+1,3))</f>
        <v>007</v>
      </c>
      <c r="E16" s="144" t="s">
        <v>102</v>
      </c>
      <c r="F16" s="104" t="str">
        <f t="shared" ref="F16" si="16">"S"&amp;E16&amp;"+"</f>
        <v>S8+</v>
      </c>
      <c r="G16" s="102" t="str">
        <f>G14</f>
        <v>X-DI 32 05</v>
      </c>
      <c r="H16" s="102" t="str">
        <f>H14</f>
        <v>X-CB 005 01</v>
      </c>
      <c r="I16" s="58" t="str">
        <f t="shared" ref="I16" si="17">E16&amp;"a"</f>
        <v>8a</v>
      </c>
      <c r="J16" s="102" t="s">
        <v>87</v>
      </c>
      <c r="K16" s="102" t="s">
        <v>458</v>
      </c>
      <c r="L16" s="58" t="s">
        <v>450</v>
      </c>
      <c r="M16" s="58" t="s">
        <v>440</v>
      </c>
      <c r="N16" s="104" t="str">
        <f ca="1">D16&amp;"/"&amp;F16</f>
        <v>007/S8+</v>
      </c>
      <c r="O16" s="280" t="s">
        <v>660</v>
      </c>
      <c r="P16" s="58">
        <v>13</v>
      </c>
      <c r="Q16" s="256" t="s">
        <v>465</v>
      </c>
      <c r="R16" s="254" t="s">
        <v>674</v>
      </c>
      <c r="T16" s="286" t="s">
        <v>665</v>
      </c>
    </row>
    <row r="17" spans="1:20" ht="18" customHeight="1" x14ac:dyDescent="0.25">
      <c r="A17" s="170"/>
      <c r="B17" s="126"/>
      <c r="C17" s="127"/>
      <c r="D17" s="145"/>
      <c r="E17" s="146"/>
      <c r="F17" s="147" t="str">
        <f t="shared" ref="F17" si="18">"DI"&amp;E16&amp;"+"</f>
        <v>DI8+</v>
      </c>
      <c r="G17" s="127"/>
      <c r="H17" s="127"/>
      <c r="I17" s="59" t="str">
        <f t="shared" ref="I17" si="19">E16&amp;"b"</f>
        <v>8b</v>
      </c>
      <c r="J17" s="129"/>
      <c r="K17" s="127"/>
      <c r="L17" s="59" t="s">
        <v>378</v>
      </c>
      <c r="M17" s="59" t="s">
        <v>440</v>
      </c>
      <c r="N17" s="147" t="str">
        <f ca="1">D16&amp;"/"&amp;F17</f>
        <v>007/DI8+</v>
      </c>
      <c r="O17" s="281" t="s">
        <v>660</v>
      </c>
      <c r="P17" s="59">
        <v>14</v>
      </c>
      <c r="Q17" s="128"/>
      <c r="R17" s="130"/>
    </row>
    <row r="18" spans="1:20" ht="18" customHeight="1" x14ac:dyDescent="0.25">
      <c r="A18" s="244" t="s">
        <v>381</v>
      </c>
      <c r="B18" s="245" t="s">
        <v>382</v>
      </c>
      <c r="C18" s="121" t="s">
        <v>83</v>
      </c>
      <c r="D18" s="148" t="str" cm="1">
        <f t="array" aca="1" ref="D18" ca="1">_xlfn.LET(_xlpm.filepath,CELL("filename",D18),MID(_xlpm.filepath,FIND("]",_xlpm.filepath)+1,3))</f>
        <v>007</v>
      </c>
      <c r="E18" s="149">
        <v>9</v>
      </c>
      <c r="F18" s="123" t="str">
        <f t="shared" ref="F18" si="20">"S"&amp;E18&amp;"+"</f>
        <v>S9+</v>
      </c>
      <c r="G18" s="121" t="str">
        <f>G16</f>
        <v>X-DI 32 05</v>
      </c>
      <c r="H18" s="121" t="str">
        <f>H14</f>
        <v>X-CB 005 01</v>
      </c>
      <c r="I18" s="53" t="str">
        <f t="shared" ref="I18" si="21">E18&amp;"a"</f>
        <v>9a</v>
      </c>
      <c r="J18" s="121" t="s">
        <v>87</v>
      </c>
      <c r="K18" s="307" t="s">
        <v>464</v>
      </c>
      <c r="L18" s="53" t="s">
        <v>450</v>
      </c>
      <c r="M18" s="53" t="s">
        <v>440</v>
      </c>
      <c r="N18" s="123" t="str">
        <f ca="1">D18&amp;"/"&amp;F18</f>
        <v>007/S9+</v>
      </c>
      <c r="O18" s="53" t="s">
        <v>383</v>
      </c>
      <c r="P18" s="53" t="s">
        <v>384</v>
      </c>
      <c r="Q18" s="257" t="s">
        <v>465</v>
      </c>
      <c r="R18" s="255" t="s">
        <v>674</v>
      </c>
      <c r="T18" t="s">
        <v>666</v>
      </c>
    </row>
    <row r="19" spans="1:20" ht="18" customHeight="1" x14ac:dyDescent="0.25">
      <c r="A19" s="168"/>
      <c r="B19" s="138"/>
      <c r="C19" s="139"/>
      <c r="D19" s="140"/>
      <c r="E19" s="141"/>
      <c r="F19" s="117" t="str">
        <f t="shared" ref="F19" si="22">"DI"&amp;E18&amp;"+"</f>
        <v>DI9+</v>
      </c>
      <c r="G19" s="139"/>
      <c r="H19" s="139"/>
      <c r="I19" s="55" t="str">
        <f t="shared" ref="I19" si="23">E18&amp;"b"</f>
        <v>9b</v>
      </c>
      <c r="J19" s="139"/>
      <c r="K19" s="139"/>
      <c r="L19" s="55" t="s">
        <v>378</v>
      </c>
      <c r="M19" s="55" t="s">
        <v>440</v>
      </c>
      <c r="N19" s="117" t="str">
        <f ca="1">D18&amp;"/"&amp;F19</f>
        <v>007/DI9+</v>
      </c>
      <c r="O19" s="55" t="s">
        <v>383</v>
      </c>
      <c r="P19" s="55" t="s">
        <v>385</v>
      </c>
      <c r="Q19" s="142"/>
      <c r="R19" s="151"/>
    </row>
    <row r="20" spans="1:20" ht="18" customHeight="1" x14ac:dyDescent="0.25">
      <c r="A20" s="169" t="s">
        <v>458</v>
      </c>
      <c r="B20" s="101" t="s">
        <v>138</v>
      </c>
      <c r="C20" s="102" t="s">
        <v>83</v>
      </c>
      <c r="D20" s="143" t="str" cm="1">
        <f t="array" aca="1" ref="D20" ca="1">_xlfn.LET(_xlpm.filepath,CELL("filename",D20),MID(_xlpm.filepath,FIND("]",_xlpm.filepath)+1,3))</f>
        <v>007</v>
      </c>
      <c r="E20" s="144" t="s">
        <v>105</v>
      </c>
      <c r="F20" s="104" t="str">
        <f t="shared" ref="F20" si="24">"S"&amp;E20&amp;"+"</f>
        <v>S10+</v>
      </c>
      <c r="G20" s="102" t="str">
        <f>G18</f>
        <v>X-DI 32 05</v>
      </c>
      <c r="H20" s="102" t="str">
        <f>H18</f>
        <v>X-CB 005 01</v>
      </c>
      <c r="I20" s="58" t="str">
        <f t="shared" ref="I20" si="25">E20&amp;"a"</f>
        <v>10a</v>
      </c>
      <c r="J20" s="102" t="s">
        <v>87</v>
      </c>
      <c r="K20" s="310" t="s">
        <v>458</v>
      </c>
      <c r="L20" s="58" t="s">
        <v>450</v>
      </c>
      <c r="M20" s="58" t="s">
        <v>440</v>
      </c>
      <c r="N20" s="104" t="str">
        <f ca="1">D20&amp;"/"&amp;F20</f>
        <v>007/S10+</v>
      </c>
      <c r="O20" s="58" t="s">
        <v>496</v>
      </c>
      <c r="P20" s="220" t="s">
        <v>280</v>
      </c>
      <c r="Q20" s="315" t="s">
        <v>465</v>
      </c>
      <c r="R20" s="287" t="s">
        <v>674</v>
      </c>
      <c r="T20" t="s">
        <v>666</v>
      </c>
    </row>
    <row r="21" spans="1:20" ht="18" customHeight="1" x14ac:dyDescent="0.25">
      <c r="A21" s="170"/>
      <c r="B21" s="126"/>
      <c r="C21" s="127"/>
      <c r="D21" s="145"/>
      <c r="E21" s="146"/>
      <c r="F21" s="147" t="str">
        <f t="shared" ref="F21" si="26">"DI"&amp;E20&amp;"+"</f>
        <v>DI10+</v>
      </c>
      <c r="G21" s="127"/>
      <c r="H21" s="127"/>
      <c r="I21" s="59" t="str">
        <f t="shared" ref="I21" si="27">E20&amp;"b"</f>
        <v>10b</v>
      </c>
      <c r="J21" s="129"/>
      <c r="K21" s="127"/>
      <c r="L21" s="59" t="s">
        <v>378</v>
      </c>
      <c r="M21" s="59" t="s">
        <v>440</v>
      </c>
      <c r="N21" s="147" t="str">
        <f ca="1">D20&amp;"/"&amp;F21</f>
        <v>007/DI10+</v>
      </c>
      <c r="O21" s="59" t="s">
        <v>496</v>
      </c>
      <c r="P21" s="221" t="s">
        <v>132</v>
      </c>
      <c r="Q21" s="128"/>
      <c r="R21" s="130"/>
    </row>
    <row r="22" spans="1:20" ht="18" customHeight="1" x14ac:dyDescent="0.25">
      <c r="A22" s="171" t="s">
        <v>452</v>
      </c>
      <c r="B22" s="120" t="s">
        <v>106</v>
      </c>
      <c r="C22" s="121" t="s">
        <v>83</v>
      </c>
      <c r="D22" s="148" t="str" cm="1">
        <f t="array" aca="1" ref="D22" ca="1">_xlfn.LET(_xlpm.filepath,CELL("filename",D22),MID(_xlpm.filepath,FIND("]",_xlpm.filepath)+1,3))</f>
        <v>007</v>
      </c>
      <c r="E22" s="149">
        <v>11</v>
      </c>
      <c r="F22" s="123" t="str">
        <f t="shared" ref="F22" si="28">"S"&amp;E22&amp;"+"</f>
        <v>S11+</v>
      </c>
      <c r="G22" s="121" t="str">
        <f>G20</f>
        <v>X-DI 32 05</v>
      </c>
      <c r="H22" s="121" t="str">
        <f>H18</f>
        <v>X-CB 005 01</v>
      </c>
      <c r="I22" s="53" t="str">
        <f t="shared" ref="I22" si="29">E22&amp;"a"</f>
        <v>11a</v>
      </c>
      <c r="J22" s="121" t="s">
        <v>498</v>
      </c>
      <c r="K22" s="121" t="s">
        <v>499</v>
      </c>
      <c r="L22" s="53" t="s">
        <v>450</v>
      </c>
      <c r="M22" s="53" t="s">
        <v>440</v>
      </c>
      <c r="N22" s="123" t="str">
        <f ca="1">D22&amp;"/"&amp;F22</f>
        <v>007/S11+</v>
      </c>
      <c r="O22" s="53" t="s">
        <v>500</v>
      </c>
      <c r="P22" s="53">
        <v>1</v>
      </c>
      <c r="Q22" s="124" t="s">
        <v>390</v>
      </c>
      <c r="R22" s="150">
        <v>0</v>
      </c>
    </row>
    <row r="23" spans="1:20" ht="18" customHeight="1" x14ac:dyDescent="0.25">
      <c r="A23" s="168"/>
      <c r="B23" s="138"/>
      <c r="C23" s="139"/>
      <c r="D23" s="140"/>
      <c r="E23" s="141"/>
      <c r="F23" s="117" t="str">
        <f t="shared" ref="F23" si="30">"DI"&amp;E22&amp;"+"</f>
        <v>DI11+</v>
      </c>
      <c r="G23" s="139"/>
      <c r="H23" s="139"/>
      <c r="I23" s="55" t="str">
        <f t="shared" ref="I23" si="31">E22&amp;"b"</f>
        <v>11b</v>
      </c>
      <c r="J23" s="139"/>
      <c r="K23" s="139"/>
      <c r="L23" s="55" t="s">
        <v>378</v>
      </c>
      <c r="M23" s="55" t="s">
        <v>440</v>
      </c>
      <c r="N23" s="117" t="str">
        <f ca="1">D22&amp;"/"&amp;F23</f>
        <v>007/DI11+</v>
      </c>
      <c r="O23" s="55" t="s">
        <v>500</v>
      </c>
      <c r="P23" s="55">
        <v>2</v>
      </c>
      <c r="Q23" s="142"/>
      <c r="R23" s="151"/>
    </row>
    <row r="24" spans="1:20" ht="18" customHeight="1" x14ac:dyDescent="0.25">
      <c r="A24" s="169" t="s">
        <v>453</v>
      </c>
      <c r="B24" s="101" t="s">
        <v>107</v>
      </c>
      <c r="C24" s="102" t="s">
        <v>83</v>
      </c>
      <c r="D24" s="143" t="str" cm="1">
        <f t="array" aca="1" ref="D24" ca="1">_xlfn.LET(_xlpm.filepath,CELL("filename",D24),MID(_xlpm.filepath,FIND("]",_xlpm.filepath)+1,3))</f>
        <v>007</v>
      </c>
      <c r="E24" s="144" t="s">
        <v>108</v>
      </c>
      <c r="F24" s="104" t="str">
        <f t="shared" ref="F24" si="32">"S"&amp;E24&amp;"+"</f>
        <v>S12+</v>
      </c>
      <c r="G24" s="102" t="str">
        <f>G22</f>
        <v>X-DI 32 05</v>
      </c>
      <c r="H24" s="102" t="str">
        <f>H22</f>
        <v>X-CB 005 01</v>
      </c>
      <c r="I24" s="58" t="str">
        <f t="shared" ref="I24" si="33">E24&amp;"a"</f>
        <v>12a</v>
      </c>
      <c r="J24" s="102" t="s">
        <v>498</v>
      </c>
      <c r="K24" s="102" t="s">
        <v>499</v>
      </c>
      <c r="L24" s="58" t="s">
        <v>450</v>
      </c>
      <c r="M24" s="58" t="s">
        <v>440</v>
      </c>
      <c r="N24" s="104" t="str">
        <f ca="1">D24&amp;"/"&amp;F24</f>
        <v>007/S12+</v>
      </c>
      <c r="O24" s="58" t="s">
        <v>500</v>
      </c>
      <c r="P24" s="58">
        <v>3</v>
      </c>
      <c r="Q24" s="103" t="s">
        <v>390</v>
      </c>
      <c r="R24" s="105" t="s">
        <v>91</v>
      </c>
    </row>
    <row r="25" spans="1:20" ht="18" customHeight="1" x14ac:dyDescent="0.25">
      <c r="A25" s="170"/>
      <c r="B25" s="126"/>
      <c r="C25" s="127"/>
      <c r="D25" s="145"/>
      <c r="E25" s="146"/>
      <c r="F25" s="147" t="str">
        <f t="shared" ref="F25" si="34">"DI"&amp;E24&amp;"+"</f>
        <v>DI12+</v>
      </c>
      <c r="G25" s="127"/>
      <c r="H25" s="127"/>
      <c r="I25" s="59" t="str">
        <f t="shared" ref="I25" si="35">E24&amp;"b"</f>
        <v>12b</v>
      </c>
      <c r="J25" s="129"/>
      <c r="K25" s="127"/>
      <c r="L25" s="59" t="s">
        <v>378</v>
      </c>
      <c r="M25" s="59" t="s">
        <v>440</v>
      </c>
      <c r="N25" s="147" t="str">
        <f ca="1">D24&amp;"/"&amp;F25</f>
        <v>007/DI12+</v>
      </c>
      <c r="O25" s="59" t="s">
        <v>500</v>
      </c>
      <c r="P25" s="59">
        <v>4</v>
      </c>
      <c r="Q25" s="128"/>
      <c r="R25" s="130"/>
    </row>
    <row r="26" spans="1:20" ht="18" customHeight="1" x14ac:dyDescent="0.25">
      <c r="A26" s="171" t="s">
        <v>454</v>
      </c>
      <c r="B26" s="120" t="s">
        <v>110</v>
      </c>
      <c r="C26" s="121" t="s">
        <v>83</v>
      </c>
      <c r="D26" s="148" t="str" cm="1">
        <f t="array" aca="1" ref="D26" ca="1">_xlfn.LET(_xlpm.filepath,CELL("filename",D26),MID(_xlpm.filepath,FIND("]",_xlpm.filepath)+1,3))</f>
        <v>007</v>
      </c>
      <c r="E26" s="149">
        <v>13</v>
      </c>
      <c r="F26" s="123" t="str">
        <f t="shared" ref="F26" si="36">"S"&amp;E26&amp;"+"</f>
        <v>S13+</v>
      </c>
      <c r="G26" s="121" t="str">
        <f>G24</f>
        <v>X-DI 32 05</v>
      </c>
      <c r="H26" s="121" t="str">
        <f>H22</f>
        <v>X-CB 005 01</v>
      </c>
      <c r="I26" s="53" t="str">
        <f t="shared" ref="I26" si="37">E26&amp;"a"</f>
        <v>13a</v>
      </c>
      <c r="J26" s="121" t="s">
        <v>498</v>
      </c>
      <c r="K26" s="121" t="s">
        <v>499</v>
      </c>
      <c r="L26" s="53" t="s">
        <v>450</v>
      </c>
      <c r="M26" s="53" t="s">
        <v>440</v>
      </c>
      <c r="N26" s="123" t="str">
        <f ca="1">D26&amp;"/"&amp;F26</f>
        <v>007/S13+</v>
      </c>
      <c r="O26" s="53" t="s">
        <v>500</v>
      </c>
      <c r="P26" s="53">
        <v>5</v>
      </c>
      <c r="Q26" s="124" t="s">
        <v>390</v>
      </c>
      <c r="R26" s="150">
        <v>0</v>
      </c>
    </row>
    <row r="27" spans="1:20" ht="18" customHeight="1" x14ac:dyDescent="0.25">
      <c r="A27" s="168"/>
      <c r="B27" s="138"/>
      <c r="C27" s="139"/>
      <c r="D27" s="140"/>
      <c r="E27" s="141"/>
      <c r="F27" s="117" t="str">
        <f t="shared" ref="F27" si="38">"DI"&amp;E26&amp;"+"</f>
        <v>DI13+</v>
      </c>
      <c r="G27" s="139"/>
      <c r="H27" s="139"/>
      <c r="I27" s="55" t="str">
        <f t="shared" ref="I27" si="39">E26&amp;"b"</f>
        <v>13b</v>
      </c>
      <c r="J27" s="139"/>
      <c r="K27" s="139"/>
      <c r="L27" s="55" t="s">
        <v>378</v>
      </c>
      <c r="M27" s="55" t="s">
        <v>440</v>
      </c>
      <c r="N27" s="117" t="str">
        <f ca="1">D26&amp;"/"&amp;F27</f>
        <v>007/DI13+</v>
      </c>
      <c r="O27" s="55" t="s">
        <v>500</v>
      </c>
      <c r="P27" s="55">
        <v>6</v>
      </c>
      <c r="Q27" s="142"/>
      <c r="R27" s="151"/>
    </row>
    <row r="28" spans="1:20" ht="18" customHeight="1" x14ac:dyDescent="0.25">
      <c r="A28" s="169" t="s">
        <v>455</v>
      </c>
      <c r="B28" s="101" t="s">
        <v>111</v>
      </c>
      <c r="C28" s="102" t="s">
        <v>83</v>
      </c>
      <c r="D28" s="143" t="str" cm="1">
        <f t="array" aca="1" ref="D28" ca="1">_xlfn.LET(_xlpm.filepath,CELL("filename",D28),MID(_xlpm.filepath,FIND("]",_xlpm.filepath)+1,3))</f>
        <v>007</v>
      </c>
      <c r="E28" s="144" t="s">
        <v>112</v>
      </c>
      <c r="F28" s="104" t="str">
        <f t="shared" ref="F28" si="40">"S"&amp;E28&amp;"+"</f>
        <v>S14+</v>
      </c>
      <c r="G28" s="102" t="str">
        <f>G26</f>
        <v>X-DI 32 05</v>
      </c>
      <c r="H28" s="102" t="str">
        <f>H26</f>
        <v>X-CB 005 01</v>
      </c>
      <c r="I28" s="58" t="str">
        <f t="shared" ref="I28" si="41">E28&amp;"a"</f>
        <v>14a</v>
      </c>
      <c r="J28" s="102" t="s">
        <v>498</v>
      </c>
      <c r="K28" s="102" t="s">
        <v>499</v>
      </c>
      <c r="L28" s="58" t="s">
        <v>450</v>
      </c>
      <c r="M28" s="58" t="s">
        <v>440</v>
      </c>
      <c r="N28" s="104" t="str">
        <f ca="1">D28&amp;"/"&amp;F28</f>
        <v>007/S14+</v>
      </c>
      <c r="O28" s="58" t="s">
        <v>500</v>
      </c>
      <c r="P28" s="58">
        <v>7</v>
      </c>
      <c r="Q28" s="103" t="s">
        <v>390</v>
      </c>
      <c r="R28" s="105" t="s">
        <v>91</v>
      </c>
    </row>
    <row r="29" spans="1:20" ht="18" customHeight="1" x14ac:dyDescent="0.25">
      <c r="A29" s="170"/>
      <c r="B29" s="126"/>
      <c r="C29" s="127"/>
      <c r="D29" s="145"/>
      <c r="E29" s="146"/>
      <c r="F29" s="147" t="str">
        <f t="shared" ref="F29" si="42">"DI"&amp;E28&amp;"+"</f>
        <v>DI14+</v>
      </c>
      <c r="G29" s="127"/>
      <c r="H29" s="127"/>
      <c r="I29" s="59" t="str">
        <f t="shared" ref="I29" si="43">E28&amp;"b"</f>
        <v>14b</v>
      </c>
      <c r="J29" s="129"/>
      <c r="K29" s="127"/>
      <c r="L29" s="59" t="s">
        <v>378</v>
      </c>
      <c r="M29" s="59" t="s">
        <v>440</v>
      </c>
      <c r="N29" s="147" t="str">
        <f ca="1">D28&amp;"/"&amp;F29</f>
        <v>007/DI14+</v>
      </c>
      <c r="O29" s="59" t="s">
        <v>500</v>
      </c>
      <c r="P29" s="59">
        <v>8</v>
      </c>
      <c r="Q29" s="128"/>
      <c r="R29" s="130"/>
    </row>
    <row r="30" spans="1:20" ht="18" customHeight="1" x14ac:dyDescent="0.25">
      <c r="A30" s="171" t="s">
        <v>103</v>
      </c>
      <c r="B30" s="120" t="s">
        <v>104</v>
      </c>
      <c r="C30" s="121" t="s">
        <v>83</v>
      </c>
      <c r="D30" s="148" t="str" cm="1">
        <f t="array" aca="1" ref="D30" ca="1">_xlfn.LET(_xlpm.filepath,CELL("filename",D30),MID(_xlpm.filepath,FIND("]",_xlpm.filepath)+1,3))</f>
        <v>007</v>
      </c>
      <c r="E30" s="149">
        <v>15</v>
      </c>
      <c r="F30" s="123" t="str">
        <f t="shared" ref="F30" si="44">"S"&amp;E30&amp;"+"</f>
        <v>S15+</v>
      </c>
      <c r="G30" s="121" t="str">
        <f>G28</f>
        <v>X-DI 32 05</v>
      </c>
      <c r="H30" s="121" t="str">
        <f>H26</f>
        <v>X-CB 005 01</v>
      </c>
      <c r="I30" s="53" t="str">
        <f t="shared" ref="I30" si="45">E30&amp;"a"</f>
        <v>15a</v>
      </c>
      <c r="J30" s="121" t="s">
        <v>501</v>
      </c>
      <c r="K30" s="121" t="s">
        <v>103</v>
      </c>
      <c r="L30" s="53" t="s">
        <v>450</v>
      </c>
      <c r="M30" s="53" t="s">
        <v>440</v>
      </c>
      <c r="N30" s="123" t="str">
        <f ca="1">D30&amp;"/"&amp;F30</f>
        <v>007/S15+</v>
      </c>
      <c r="O30" s="53" t="s">
        <v>502</v>
      </c>
      <c r="P30" s="53">
        <v>1</v>
      </c>
      <c r="Q30" s="124" t="s">
        <v>390</v>
      </c>
      <c r="R30" s="150">
        <v>0</v>
      </c>
    </row>
    <row r="31" spans="1:20" ht="18" customHeight="1" x14ac:dyDescent="0.25">
      <c r="A31" s="168"/>
      <c r="B31" s="138"/>
      <c r="C31" s="139"/>
      <c r="D31" s="140"/>
      <c r="E31" s="141"/>
      <c r="F31" s="117" t="str">
        <f t="shared" ref="F31" si="46">"DI"&amp;E30&amp;"+"</f>
        <v>DI15+</v>
      </c>
      <c r="G31" s="139"/>
      <c r="H31" s="139"/>
      <c r="I31" s="55" t="str">
        <f t="shared" ref="I31" si="47">E30&amp;"b"</f>
        <v>15b</v>
      </c>
      <c r="J31" s="139"/>
      <c r="K31" s="139"/>
      <c r="L31" s="55" t="s">
        <v>378</v>
      </c>
      <c r="M31" s="55" t="s">
        <v>440</v>
      </c>
      <c r="N31" s="117" t="str">
        <f ca="1">D30&amp;"/"&amp;F31</f>
        <v>007/DI15+</v>
      </c>
      <c r="O31" s="55" t="s">
        <v>502</v>
      </c>
      <c r="P31" s="55">
        <v>2</v>
      </c>
      <c r="Q31" s="142"/>
      <c r="R31" s="151"/>
    </row>
    <row r="32" spans="1:20" ht="18" customHeight="1" x14ac:dyDescent="0.25">
      <c r="A32" s="169" t="s">
        <v>116</v>
      </c>
      <c r="B32" s="101" t="s">
        <v>114</v>
      </c>
      <c r="C32" s="102" t="s">
        <v>83</v>
      </c>
      <c r="D32" s="143" t="str" cm="1">
        <f t="array" aca="1" ref="D32" ca="1">_xlfn.LET(_xlpm.filepath,CELL("filename",D32),MID(_xlpm.filepath,FIND("]",_xlpm.filepath)+1,3))</f>
        <v>007</v>
      </c>
      <c r="E32" s="144" t="s">
        <v>118</v>
      </c>
      <c r="F32" s="104" t="str">
        <f t="shared" ref="F32" si="48">"S"&amp;E32&amp;"+"</f>
        <v>S16+</v>
      </c>
      <c r="G32" s="102" t="str">
        <f>G30</f>
        <v>X-DI 32 05</v>
      </c>
      <c r="H32" s="102" t="str">
        <f>H30</f>
        <v>X-CB 005 01</v>
      </c>
      <c r="I32" s="58" t="str">
        <f t="shared" ref="I32" si="49">E32&amp;"a"</f>
        <v>16a</v>
      </c>
      <c r="J32" s="102" t="s">
        <v>109</v>
      </c>
      <c r="K32" s="102" t="s">
        <v>115</v>
      </c>
      <c r="L32" s="58" t="s">
        <v>450</v>
      </c>
      <c r="M32" s="58" t="s">
        <v>440</v>
      </c>
      <c r="N32" s="104" t="str">
        <f ca="1">D32&amp;"/"&amp;F32</f>
        <v>007/S16+</v>
      </c>
      <c r="O32" s="58" t="s">
        <v>503</v>
      </c>
      <c r="P32" s="58">
        <v>7</v>
      </c>
      <c r="Q32" s="103" t="s">
        <v>390</v>
      </c>
      <c r="R32" s="105" t="s">
        <v>91</v>
      </c>
    </row>
    <row r="33" spans="1:18" ht="18" customHeight="1" x14ac:dyDescent="0.25">
      <c r="A33" s="170"/>
      <c r="B33" s="126"/>
      <c r="C33" s="127"/>
      <c r="D33" s="145"/>
      <c r="E33" s="146"/>
      <c r="F33" s="147" t="str">
        <f t="shared" ref="F33" si="50">"DI"&amp;E32&amp;"+"</f>
        <v>DI16+</v>
      </c>
      <c r="G33" s="127"/>
      <c r="H33" s="127"/>
      <c r="I33" s="59" t="str">
        <f t="shared" ref="I33" si="51">E32&amp;"b"</f>
        <v>16b</v>
      </c>
      <c r="J33" s="129"/>
      <c r="K33" s="127"/>
      <c r="L33" s="59" t="s">
        <v>378</v>
      </c>
      <c r="M33" s="59" t="s">
        <v>440</v>
      </c>
      <c r="N33" s="147" t="str">
        <f ca="1">D32&amp;"/"&amp;F33</f>
        <v>007/DI16+</v>
      </c>
      <c r="O33" s="59" t="s">
        <v>503</v>
      </c>
      <c r="P33" s="59">
        <v>8</v>
      </c>
      <c r="Q33" s="128"/>
      <c r="R33" s="130"/>
    </row>
    <row r="34" spans="1:18" ht="18" customHeight="1" x14ac:dyDescent="0.25">
      <c r="A34" s="171" t="s">
        <v>113</v>
      </c>
      <c r="B34" s="120" t="s">
        <v>117</v>
      </c>
      <c r="C34" s="121" t="s">
        <v>83</v>
      </c>
      <c r="D34" s="148" t="str" cm="1">
        <f t="array" aca="1" ref="D34" ca="1">_xlfn.LET(_xlpm.filepath,CELL("filename",D34),MID(_xlpm.filepath,FIND("]",_xlpm.filepath)+1,3))</f>
        <v>007</v>
      </c>
      <c r="E34" s="149">
        <v>17</v>
      </c>
      <c r="F34" s="123" t="str">
        <f t="shared" ref="F34" si="52">"S"&amp;E34&amp;"+"</f>
        <v>S17+</v>
      </c>
      <c r="G34" s="121" t="str">
        <f>G32</f>
        <v>X-DI 32 05</v>
      </c>
      <c r="H34" s="121" t="str">
        <f>H30</f>
        <v>X-CB 005 01</v>
      </c>
      <c r="I34" s="53" t="str">
        <f t="shared" ref="I34" si="53">E34&amp;"a"</f>
        <v>17a</v>
      </c>
      <c r="J34" s="121" t="s">
        <v>109</v>
      </c>
      <c r="K34" s="121" t="s">
        <v>119</v>
      </c>
      <c r="L34" s="53" t="s">
        <v>450</v>
      </c>
      <c r="M34" s="53" t="s">
        <v>440</v>
      </c>
      <c r="N34" s="123" t="str">
        <f ca="1">D34&amp;"/"&amp;F34</f>
        <v>007/S17+</v>
      </c>
      <c r="O34" s="53" t="s">
        <v>503</v>
      </c>
      <c r="P34" s="53">
        <v>3</v>
      </c>
      <c r="Q34" s="124" t="s">
        <v>390</v>
      </c>
      <c r="R34" s="150">
        <v>0</v>
      </c>
    </row>
    <row r="35" spans="1:18" ht="18" customHeight="1" x14ac:dyDescent="0.25">
      <c r="A35" s="168"/>
      <c r="B35" s="138"/>
      <c r="C35" s="139"/>
      <c r="D35" s="140"/>
      <c r="E35" s="141"/>
      <c r="F35" s="117" t="str">
        <f t="shared" ref="F35" si="54">"DI"&amp;E34&amp;"+"</f>
        <v>DI17+</v>
      </c>
      <c r="G35" s="139"/>
      <c r="H35" s="139"/>
      <c r="I35" s="55" t="str">
        <f t="shared" ref="I35" si="55">E34&amp;"b"</f>
        <v>17b</v>
      </c>
      <c r="J35" s="139"/>
      <c r="K35" s="139"/>
      <c r="L35" s="55" t="s">
        <v>378</v>
      </c>
      <c r="M35" s="55" t="s">
        <v>440</v>
      </c>
      <c r="N35" s="117" t="str">
        <f ca="1">D34&amp;"/"&amp;F35</f>
        <v>007/DI17+</v>
      </c>
      <c r="O35" s="55" t="s">
        <v>503</v>
      </c>
      <c r="P35" s="55">
        <v>4</v>
      </c>
      <c r="Q35" s="142"/>
      <c r="R35" s="151"/>
    </row>
    <row r="36" spans="1:18" ht="18" customHeight="1" x14ac:dyDescent="0.25">
      <c r="A36" s="169" t="s">
        <v>124</v>
      </c>
      <c r="B36" s="101" t="s">
        <v>125</v>
      </c>
      <c r="C36" s="102" t="s">
        <v>83</v>
      </c>
      <c r="D36" s="143" t="str" cm="1">
        <f t="array" aca="1" ref="D36" ca="1">_xlfn.LET(_xlpm.filepath,CELL("filename",D36),MID(_xlpm.filepath,FIND("]",_xlpm.filepath)+1,3))</f>
        <v>007</v>
      </c>
      <c r="E36" s="144" t="s">
        <v>123</v>
      </c>
      <c r="F36" s="104" t="str">
        <f t="shared" ref="F36" si="56">"S"&amp;E36&amp;"+"</f>
        <v>S18+</v>
      </c>
      <c r="G36" s="102" t="str">
        <f>G34</f>
        <v>X-DI 32 05</v>
      </c>
      <c r="H36" s="102" t="str">
        <f>H34</f>
        <v>X-CB 005 01</v>
      </c>
      <c r="I36" s="58" t="str">
        <f t="shared" ref="I36" si="57">E36&amp;"a"</f>
        <v>18a</v>
      </c>
      <c r="J36" s="102" t="s">
        <v>109</v>
      </c>
      <c r="K36" s="102" t="s">
        <v>124</v>
      </c>
      <c r="L36" s="58" t="s">
        <v>450</v>
      </c>
      <c r="M36" s="58" t="s">
        <v>440</v>
      </c>
      <c r="N36" s="104" t="str">
        <f ca="1">D36&amp;"/"&amp;F36</f>
        <v>007/S18+</v>
      </c>
      <c r="O36" s="58" t="s">
        <v>503</v>
      </c>
      <c r="P36" s="58">
        <v>31</v>
      </c>
      <c r="Q36" s="103" t="s">
        <v>390</v>
      </c>
      <c r="R36" s="105" t="s">
        <v>91</v>
      </c>
    </row>
    <row r="37" spans="1:18" ht="18" customHeight="1" x14ac:dyDescent="0.25">
      <c r="A37" s="170"/>
      <c r="B37" s="126"/>
      <c r="C37" s="127"/>
      <c r="D37" s="145"/>
      <c r="E37" s="146"/>
      <c r="F37" s="147" t="str">
        <f t="shared" ref="F37" si="58">"DI"&amp;E36&amp;"+"</f>
        <v>DI18+</v>
      </c>
      <c r="G37" s="127"/>
      <c r="H37" s="127"/>
      <c r="I37" s="59" t="str">
        <f t="shared" ref="I37" si="59">E36&amp;"b"</f>
        <v>18b</v>
      </c>
      <c r="J37" s="129"/>
      <c r="K37" s="127"/>
      <c r="L37" s="59" t="s">
        <v>378</v>
      </c>
      <c r="M37" s="59" t="s">
        <v>440</v>
      </c>
      <c r="N37" s="147" t="str">
        <f ca="1">D36&amp;"/"&amp;F37</f>
        <v>007/DI18+</v>
      </c>
      <c r="O37" s="59" t="s">
        <v>503</v>
      </c>
      <c r="P37" s="59">
        <v>32</v>
      </c>
      <c r="Q37" s="128"/>
      <c r="R37" s="130"/>
    </row>
    <row r="38" spans="1:18" ht="18" customHeight="1" x14ac:dyDescent="0.25">
      <c r="A38" s="171" t="s">
        <v>603</v>
      </c>
      <c r="B38" s="120" t="s">
        <v>127</v>
      </c>
      <c r="C38" s="121" t="s">
        <v>83</v>
      </c>
      <c r="D38" s="148" t="str" cm="1">
        <f t="array" aca="1" ref="D38" ca="1">_xlfn.LET(_xlpm.filepath,CELL("filename",D38),MID(_xlpm.filepath,FIND("]",_xlpm.filepath)+1,3))</f>
        <v>007</v>
      </c>
      <c r="E38" s="149">
        <v>19</v>
      </c>
      <c r="F38" s="123" t="str">
        <f t="shared" ref="F38" si="60">"S"&amp;E38&amp;"+"</f>
        <v>S19+</v>
      </c>
      <c r="G38" s="121" t="str">
        <f>G36</f>
        <v>X-DI 32 05</v>
      </c>
      <c r="H38" s="121" t="str">
        <f>H34</f>
        <v>X-CB 005 01</v>
      </c>
      <c r="I38" s="53" t="str">
        <f t="shared" ref="I38" si="61">E38&amp;"a"</f>
        <v>19a</v>
      </c>
      <c r="J38" s="121" t="s">
        <v>109</v>
      </c>
      <c r="K38" s="121" t="s">
        <v>603</v>
      </c>
      <c r="L38" s="53" t="s">
        <v>450</v>
      </c>
      <c r="M38" s="53" t="s">
        <v>440</v>
      </c>
      <c r="N38" s="123" t="str">
        <f ca="1">D38&amp;"/"&amp;F38</f>
        <v>007/S19+</v>
      </c>
      <c r="O38" s="53" t="s">
        <v>503</v>
      </c>
      <c r="P38" s="53">
        <v>9</v>
      </c>
      <c r="Q38" s="124" t="s">
        <v>390</v>
      </c>
      <c r="R38" s="150">
        <v>0</v>
      </c>
    </row>
    <row r="39" spans="1:18" ht="18" customHeight="1" x14ac:dyDescent="0.25">
      <c r="A39" s="168"/>
      <c r="B39" s="138"/>
      <c r="C39" s="139"/>
      <c r="D39" s="140"/>
      <c r="E39" s="141"/>
      <c r="F39" s="117" t="str">
        <f t="shared" ref="F39" si="62">"DI"&amp;E38&amp;"+"</f>
        <v>DI19+</v>
      </c>
      <c r="G39" s="139"/>
      <c r="H39" s="139"/>
      <c r="I39" s="55" t="str">
        <f t="shared" ref="I39" si="63">E38&amp;"b"</f>
        <v>19b</v>
      </c>
      <c r="J39" s="139"/>
      <c r="K39" s="139"/>
      <c r="L39" s="55" t="s">
        <v>378</v>
      </c>
      <c r="M39" s="55" t="s">
        <v>440</v>
      </c>
      <c r="N39" s="117" t="str">
        <f ca="1">D38&amp;"/"&amp;F39</f>
        <v>007/DI19+</v>
      </c>
      <c r="O39" s="55" t="s">
        <v>503</v>
      </c>
      <c r="P39" s="55">
        <v>10</v>
      </c>
      <c r="Q39" s="142"/>
      <c r="R39" s="151"/>
    </row>
    <row r="40" spans="1:18" ht="18" customHeight="1" x14ac:dyDescent="0.25">
      <c r="A40" s="169" t="s">
        <v>129</v>
      </c>
      <c r="B40" s="101" t="s">
        <v>130</v>
      </c>
      <c r="C40" s="102" t="s">
        <v>83</v>
      </c>
      <c r="D40" s="143" t="str" cm="1">
        <f t="array" aca="1" ref="D40" ca="1">_xlfn.LET(_xlpm.filepath,CELL("filename",D40),MID(_xlpm.filepath,FIND("]",_xlpm.filepath)+1,3))</f>
        <v>007</v>
      </c>
      <c r="E40" s="144" t="s">
        <v>128</v>
      </c>
      <c r="F40" s="104" t="str">
        <f t="shared" ref="F40" si="64">"S"&amp;E40&amp;"+"</f>
        <v>S20+</v>
      </c>
      <c r="G40" s="102" t="str">
        <f>G38</f>
        <v>X-DI 32 05</v>
      </c>
      <c r="H40" s="102" t="str">
        <f>H38</f>
        <v>X-CB 005 01</v>
      </c>
      <c r="I40" s="58" t="str">
        <f t="shared" ref="I40" si="65">E40&amp;"a"</f>
        <v>20a</v>
      </c>
      <c r="J40" s="102" t="s">
        <v>109</v>
      </c>
      <c r="K40" s="102" t="s">
        <v>129</v>
      </c>
      <c r="L40" s="58" t="s">
        <v>450</v>
      </c>
      <c r="M40" s="58" t="s">
        <v>440</v>
      </c>
      <c r="N40" s="104" t="str">
        <f ca="1">D40&amp;"/"&amp;F40</f>
        <v>007/S20+</v>
      </c>
      <c r="O40" s="58" t="s">
        <v>503</v>
      </c>
      <c r="P40" s="58">
        <v>13</v>
      </c>
      <c r="Q40" s="103" t="s">
        <v>390</v>
      </c>
      <c r="R40" s="105" t="s">
        <v>91</v>
      </c>
    </row>
    <row r="41" spans="1:18" ht="18" customHeight="1" x14ac:dyDescent="0.25">
      <c r="A41" s="170"/>
      <c r="B41" s="126"/>
      <c r="C41" s="127"/>
      <c r="D41" s="145"/>
      <c r="E41" s="146"/>
      <c r="F41" s="147" t="str">
        <f t="shared" ref="F41" si="66">"DI"&amp;E40&amp;"+"</f>
        <v>DI20+</v>
      </c>
      <c r="G41" s="127"/>
      <c r="H41" s="127"/>
      <c r="I41" s="59" t="str">
        <f t="shared" ref="I41" si="67">E40&amp;"b"</f>
        <v>20b</v>
      </c>
      <c r="J41" s="129"/>
      <c r="K41" s="127"/>
      <c r="L41" s="59" t="s">
        <v>378</v>
      </c>
      <c r="M41" s="59" t="s">
        <v>440</v>
      </c>
      <c r="N41" s="147" t="str">
        <f ca="1">D40&amp;"/"&amp;F41</f>
        <v>007/DI20+</v>
      </c>
      <c r="O41" s="59" t="s">
        <v>503</v>
      </c>
      <c r="P41" s="59">
        <v>14</v>
      </c>
      <c r="Q41" s="128"/>
      <c r="R41" s="130"/>
    </row>
    <row r="42" spans="1:18" ht="18" customHeight="1" x14ac:dyDescent="0.25">
      <c r="A42" s="171" t="s">
        <v>456</v>
      </c>
      <c r="B42" s="120" t="s">
        <v>131</v>
      </c>
      <c r="C42" s="121" t="s">
        <v>83</v>
      </c>
      <c r="D42" s="148" t="str" cm="1">
        <f t="array" aca="1" ref="D42" ca="1">_xlfn.LET(_xlpm.filepath,CELL("filename",D42),MID(_xlpm.filepath,FIND("]",_xlpm.filepath)+1,3))</f>
        <v>007</v>
      </c>
      <c r="E42" s="149">
        <v>21</v>
      </c>
      <c r="F42" s="123" t="str">
        <f t="shared" ref="F42" si="68">"S"&amp;E42&amp;"+"</f>
        <v>S21+</v>
      </c>
      <c r="G42" s="121" t="str">
        <f>G40</f>
        <v>X-DI 32 05</v>
      </c>
      <c r="H42" s="121" t="str">
        <f>H38</f>
        <v>X-CB 005 01</v>
      </c>
      <c r="I42" s="53" t="str">
        <f t="shared" ref="I42" si="69">E42&amp;"a"</f>
        <v>21a</v>
      </c>
      <c r="J42" s="121" t="s">
        <v>109</v>
      </c>
      <c r="K42" s="121" t="s">
        <v>604</v>
      </c>
      <c r="L42" s="53" t="s">
        <v>450</v>
      </c>
      <c r="M42" s="53" t="s">
        <v>440</v>
      </c>
      <c r="N42" s="123" t="str">
        <f ca="1">D42&amp;"/"&amp;F42</f>
        <v>007/S21+</v>
      </c>
      <c r="O42" s="53" t="s">
        <v>503</v>
      </c>
      <c r="P42" s="53">
        <v>21</v>
      </c>
      <c r="Q42" s="124" t="s">
        <v>390</v>
      </c>
      <c r="R42" s="150">
        <v>0</v>
      </c>
    </row>
    <row r="43" spans="1:18" ht="18" customHeight="1" x14ac:dyDescent="0.25">
      <c r="A43" s="168"/>
      <c r="B43" s="138"/>
      <c r="C43" s="139"/>
      <c r="D43" s="140"/>
      <c r="E43" s="141"/>
      <c r="F43" s="117" t="str">
        <f t="shared" ref="F43" si="70">"DI"&amp;E42&amp;"+"</f>
        <v>DI21+</v>
      </c>
      <c r="G43" s="139"/>
      <c r="H43" s="139"/>
      <c r="I43" s="55" t="str">
        <f t="shared" ref="I43" si="71">E42&amp;"b"</f>
        <v>21b</v>
      </c>
      <c r="J43" s="139"/>
      <c r="K43" s="139"/>
      <c r="L43" s="55" t="s">
        <v>378</v>
      </c>
      <c r="M43" s="55" t="s">
        <v>440</v>
      </c>
      <c r="N43" s="117" t="str">
        <f ca="1">D42&amp;"/"&amp;F43</f>
        <v>007/DI21+</v>
      </c>
      <c r="O43" s="55" t="s">
        <v>503</v>
      </c>
      <c r="P43" s="55">
        <v>22</v>
      </c>
      <c r="Q43" s="142"/>
      <c r="R43" s="151"/>
    </row>
    <row r="44" spans="1:18" ht="18" customHeight="1" x14ac:dyDescent="0.25">
      <c r="A44" s="169" t="s">
        <v>457</v>
      </c>
      <c r="B44" s="101" t="s">
        <v>133</v>
      </c>
      <c r="C44" s="102" t="s">
        <v>83</v>
      </c>
      <c r="D44" s="143" t="str" cm="1">
        <f t="array" aca="1" ref="D44" ca="1">_xlfn.LET(_xlpm.filepath,CELL("filename",D44),MID(_xlpm.filepath,FIND("]",_xlpm.filepath)+1,3))</f>
        <v>007</v>
      </c>
      <c r="E44" s="144" t="s">
        <v>132</v>
      </c>
      <c r="F44" s="104" t="str">
        <f t="shared" ref="F44" si="72">"S"&amp;E44&amp;"+"</f>
        <v>S22+</v>
      </c>
      <c r="G44" s="102" t="str">
        <f>G42</f>
        <v>X-DI 32 05</v>
      </c>
      <c r="H44" s="102" t="str">
        <f>H42</f>
        <v>X-CB 005 01</v>
      </c>
      <c r="I44" s="58" t="str">
        <f t="shared" ref="I44" si="73">E44&amp;"a"</f>
        <v>22a</v>
      </c>
      <c r="J44" s="102" t="s">
        <v>109</v>
      </c>
      <c r="K44" s="102" t="s">
        <v>604</v>
      </c>
      <c r="L44" s="58" t="s">
        <v>450</v>
      </c>
      <c r="M44" s="58" t="s">
        <v>440</v>
      </c>
      <c r="N44" s="104" t="str">
        <f ca="1">D44&amp;"/"&amp;F44</f>
        <v>007/S22+</v>
      </c>
      <c r="O44" s="58" t="s">
        <v>503</v>
      </c>
      <c r="P44" s="58">
        <v>23</v>
      </c>
      <c r="Q44" s="103" t="s">
        <v>390</v>
      </c>
      <c r="R44" s="105" t="s">
        <v>91</v>
      </c>
    </row>
    <row r="45" spans="1:18" ht="18" customHeight="1" x14ac:dyDescent="0.25">
      <c r="A45" s="170"/>
      <c r="B45" s="126"/>
      <c r="C45" s="127"/>
      <c r="D45" s="145"/>
      <c r="E45" s="146"/>
      <c r="F45" s="147" t="str">
        <f t="shared" ref="F45" si="74">"DI"&amp;E44&amp;"+"</f>
        <v>DI22+</v>
      </c>
      <c r="G45" s="127"/>
      <c r="H45" s="127"/>
      <c r="I45" s="59" t="str">
        <f t="shared" ref="I45" si="75">E44&amp;"b"</f>
        <v>22b</v>
      </c>
      <c r="J45" s="129"/>
      <c r="K45" s="127"/>
      <c r="L45" s="59" t="s">
        <v>378</v>
      </c>
      <c r="M45" s="59" t="s">
        <v>440</v>
      </c>
      <c r="N45" s="147" t="str">
        <f ca="1">D44&amp;"/"&amp;F45</f>
        <v>007/DI22+</v>
      </c>
      <c r="O45" s="59" t="s">
        <v>503</v>
      </c>
      <c r="P45" s="59">
        <v>24</v>
      </c>
      <c r="Q45" s="128"/>
      <c r="R45" s="130"/>
    </row>
    <row r="46" spans="1:18" ht="18" customHeight="1" x14ac:dyDescent="0.25">
      <c r="A46" s="171" t="s">
        <v>135</v>
      </c>
      <c r="B46" s="120" t="s">
        <v>136</v>
      </c>
      <c r="C46" s="121" t="s">
        <v>83</v>
      </c>
      <c r="D46" s="148" t="str" cm="1">
        <f t="array" aca="1" ref="D46" ca="1">_xlfn.LET(_xlpm.filepath,CELL("filename",D46),MID(_xlpm.filepath,FIND("]",_xlpm.filepath)+1,3))</f>
        <v>007</v>
      </c>
      <c r="E46" s="149">
        <v>23</v>
      </c>
      <c r="F46" s="123" t="str">
        <f t="shared" ref="F46" si="76">"S"&amp;E46&amp;"+"</f>
        <v>S23+</v>
      </c>
      <c r="G46" s="121" t="str">
        <f t="shared" ref="G46" si="77">G44</f>
        <v>X-DI 32 05</v>
      </c>
      <c r="H46" s="121" t="str">
        <f t="shared" ref="H46" si="78">H42</f>
        <v>X-CB 005 01</v>
      </c>
      <c r="I46" s="53" t="str">
        <f t="shared" ref="I46" si="79">E46&amp;"a"</f>
        <v>23a</v>
      </c>
      <c r="J46" s="121" t="s">
        <v>109</v>
      </c>
      <c r="K46" s="121" t="s">
        <v>135</v>
      </c>
      <c r="L46" s="53" t="s">
        <v>450</v>
      </c>
      <c r="M46" s="53" t="s">
        <v>440</v>
      </c>
      <c r="N46" s="123" t="str">
        <f ca="1">D46&amp;"/"&amp;F46</f>
        <v>007/S23+</v>
      </c>
      <c r="O46" s="53" t="s">
        <v>503</v>
      </c>
      <c r="P46" s="53">
        <v>25</v>
      </c>
      <c r="Q46" s="124" t="s">
        <v>390</v>
      </c>
      <c r="R46" s="150">
        <v>0</v>
      </c>
    </row>
    <row r="47" spans="1:18" ht="18" customHeight="1" x14ac:dyDescent="0.25">
      <c r="A47" s="168"/>
      <c r="B47" s="138"/>
      <c r="C47" s="139"/>
      <c r="D47" s="140"/>
      <c r="E47" s="141"/>
      <c r="F47" s="117" t="str">
        <f t="shared" ref="F47" si="80">"DI"&amp;E46&amp;"+"</f>
        <v>DI23+</v>
      </c>
      <c r="G47" s="139"/>
      <c r="H47" s="139"/>
      <c r="I47" s="55" t="str">
        <f t="shared" ref="I47" si="81">E46&amp;"b"</f>
        <v>23b</v>
      </c>
      <c r="J47" s="139"/>
      <c r="K47" s="139"/>
      <c r="L47" s="55" t="s">
        <v>378</v>
      </c>
      <c r="M47" s="55" t="s">
        <v>440</v>
      </c>
      <c r="N47" s="117" t="str">
        <f ca="1">D46&amp;"/"&amp;F47</f>
        <v>007/DI23+</v>
      </c>
      <c r="O47" s="55" t="s">
        <v>503</v>
      </c>
      <c r="P47" s="55">
        <v>26</v>
      </c>
      <c r="Q47" s="142"/>
      <c r="R47" s="151"/>
    </row>
    <row r="48" spans="1:18" ht="18" customHeight="1" x14ac:dyDescent="0.25">
      <c r="A48" s="169" t="s">
        <v>139</v>
      </c>
      <c r="B48" s="101" t="s">
        <v>140</v>
      </c>
      <c r="C48" s="102" t="s">
        <v>83</v>
      </c>
      <c r="D48" s="143" t="str" cm="1">
        <f t="array" aca="1" ref="D48" ca="1">_xlfn.LET(_xlpm.filepath,CELL("filename",D48),MID(_xlpm.filepath,FIND("]",_xlpm.filepath)+1,3))</f>
        <v>007</v>
      </c>
      <c r="E48" s="144" t="s">
        <v>137</v>
      </c>
      <c r="F48" s="104" t="str">
        <f t="shared" ref="F48" si="82">"S"&amp;E48&amp;"+"</f>
        <v>S24+</v>
      </c>
      <c r="G48" s="102" t="str">
        <f t="shared" ref="G48:H48" si="83">G46</f>
        <v>X-DI 32 05</v>
      </c>
      <c r="H48" s="102" t="str">
        <f t="shared" si="83"/>
        <v>X-CB 005 01</v>
      </c>
      <c r="I48" s="58" t="str">
        <f t="shared" ref="I48" si="84">E48&amp;"a"</f>
        <v>24a</v>
      </c>
      <c r="J48" s="102" t="s">
        <v>134</v>
      </c>
      <c r="K48" s="102" t="s">
        <v>139</v>
      </c>
      <c r="L48" s="58" t="s">
        <v>450</v>
      </c>
      <c r="M48" s="58" t="s">
        <v>440</v>
      </c>
      <c r="N48" s="104" t="str">
        <f ca="1">D48&amp;"/"&amp;F48</f>
        <v>007/S24+</v>
      </c>
      <c r="O48" s="58" t="s">
        <v>503</v>
      </c>
      <c r="P48" s="58">
        <v>37</v>
      </c>
      <c r="Q48" s="103" t="s">
        <v>390</v>
      </c>
      <c r="R48" s="105" t="s">
        <v>91</v>
      </c>
    </row>
    <row r="49" spans="1:18" ht="18" customHeight="1" x14ac:dyDescent="0.25">
      <c r="A49" s="170"/>
      <c r="B49" s="126"/>
      <c r="C49" s="127"/>
      <c r="D49" s="145"/>
      <c r="E49" s="146"/>
      <c r="F49" s="147" t="str">
        <f t="shared" ref="F49" si="85">"DI"&amp;E48&amp;"+"</f>
        <v>DI24+</v>
      </c>
      <c r="G49" s="127"/>
      <c r="H49" s="127"/>
      <c r="I49" s="59" t="str">
        <f t="shared" ref="I49" si="86">E48&amp;"b"</f>
        <v>24b</v>
      </c>
      <c r="J49" s="129"/>
      <c r="K49" s="127"/>
      <c r="L49" s="59" t="s">
        <v>378</v>
      </c>
      <c r="M49" s="59" t="s">
        <v>440</v>
      </c>
      <c r="N49" s="147" t="str">
        <f ca="1">D48&amp;"/"&amp;F49</f>
        <v>007/DI24+</v>
      </c>
      <c r="O49" s="59" t="s">
        <v>503</v>
      </c>
      <c r="P49" s="59">
        <v>38</v>
      </c>
      <c r="Q49" s="128"/>
      <c r="R49" s="130"/>
    </row>
    <row r="50" spans="1:18" ht="18" customHeight="1" x14ac:dyDescent="0.25">
      <c r="A50" s="171" t="s">
        <v>469</v>
      </c>
      <c r="B50" s="120" t="s">
        <v>142</v>
      </c>
      <c r="C50" s="121" t="s">
        <v>83</v>
      </c>
      <c r="D50" s="148" t="str" cm="1">
        <f t="array" aca="1" ref="D50" ca="1">_xlfn.LET(_xlpm.filepath,CELL("filename",D50),MID(_xlpm.filepath,FIND("]",_xlpm.filepath)+1,3))</f>
        <v>007</v>
      </c>
      <c r="E50" s="149">
        <v>25</v>
      </c>
      <c r="F50" s="123" t="str">
        <f t="shared" ref="F50" si="87">"S"&amp;E50&amp;"+"</f>
        <v>S25+</v>
      </c>
      <c r="G50" s="121" t="str">
        <f t="shared" ref="G50" si="88">G48</f>
        <v>X-DI 32 05</v>
      </c>
      <c r="H50" s="121" t="str">
        <f t="shared" ref="H50" si="89">H46</f>
        <v>X-CB 005 01</v>
      </c>
      <c r="I50" s="53" t="str">
        <f t="shared" ref="I50" si="90">E50&amp;"a"</f>
        <v>25a</v>
      </c>
      <c r="J50" s="200" t="s">
        <v>63</v>
      </c>
      <c r="K50" s="121" t="s">
        <v>143</v>
      </c>
      <c r="L50" s="223" t="s">
        <v>450</v>
      </c>
      <c r="M50" s="53" t="s">
        <v>440</v>
      </c>
      <c r="N50" s="123" t="str">
        <f ca="1">D50&amp;"/"&amp;F50</f>
        <v>007/S25+</v>
      </c>
      <c r="O50" s="53" t="s">
        <v>484</v>
      </c>
      <c r="P50" s="53">
        <v>3</v>
      </c>
      <c r="Q50" s="257" t="s">
        <v>390</v>
      </c>
      <c r="R50" s="150">
        <v>0</v>
      </c>
    </row>
    <row r="51" spans="1:18" ht="18" customHeight="1" x14ac:dyDescent="0.25">
      <c r="A51" s="168"/>
      <c r="B51" s="138"/>
      <c r="C51" s="139"/>
      <c r="D51" s="140"/>
      <c r="E51" s="141"/>
      <c r="F51" s="117" t="str">
        <f t="shared" ref="F51" si="91">"DI"&amp;E50&amp;"+"</f>
        <v>DI25+</v>
      </c>
      <c r="G51" s="139"/>
      <c r="H51" s="139"/>
      <c r="I51" s="55" t="str">
        <f t="shared" ref="I51" si="92">E50&amp;"b"</f>
        <v>25b</v>
      </c>
      <c r="J51" s="201"/>
      <c r="K51" s="139"/>
      <c r="L51" s="55" t="s">
        <v>378</v>
      </c>
      <c r="M51" s="55" t="s">
        <v>440</v>
      </c>
      <c r="N51" s="117" t="str">
        <f ca="1">D50&amp;"/"&amp;F51</f>
        <v>007/DI25+</v>
      </c>
      <c r="O51" s="55" t="s">
        <v>484</v>
      </c>
      <c r="P51" s="55">
        <v>4</v>
      </c>
      <c r="Q51" s="142"/>
      <c r="R51" s="151"/>
    </row>
    <row r="52" spans="1:18" ht="18" customHeight="1" x14ac:dyDescent="0.25">
      <c r="A52" s="169" t="s">
        <v>470</v>
      </c>
      <c r="B52" s="101" t="s">
        <v>144</v>
      </c>
      <c r="C52" s="102" t="s">
        <v>83</v>
      </c>
      <c r="D52" s="143" t="str" cm="1">
        <f t="array" aca="1" ref="D52" ca="1">_xlfn.LET(_xlpm.filepath,CELL("filename",D52),MID(_xlpm.filepath,FIND("]",_xlpm.filepath)+1,3))</f>
        <v>007</v>
      </c>
      <c r="E52" s="144" t="s">
        <v>141</v>
      </c>
      <c r="F52" s="104" t="str">
        <f t="shared" ref="F52" si="93">"S"&amp;E52&amp;"+"</f>
        <v>S26+</v>
      </c>
      <c r="G52" s="102" t="str">
        <f t="shared" ref="G52:H52" si="94">G50</f>
        <v>X-DI 32 05</v>
      </c>
      <c r="H52" s="102" t="str">
        <f t="shared" si="94"/>
        <v>X-CB 005 01</v>
      </c>
      <c r="I52" s="58" t="str">
        <f t="shared" ref="I52" si="95">E52&amp;"a"</f>
        <v>26a</v>
      </c>
      <c r="J52" s="102" t="s">
        <v>63</v>
      </c>
      <c r="K52" s="102" t="s">
        <v>146</v>
      </c>
      <c r="L52" s="58" t="s">
        <v>450</v>
      </c>
      <c r="M52" s="58" t="s">
        <v>440</v>
      </c>
      <c r="N52" s="104" t="str">
        <f ca="1">D52&amp;"/"&amp;F52</f>
        <v>007/S26+</v>
      </c>
      <c r="O52" s="58" t="s">
        <v>484</v>
      </c>
      <c r="P52" s="58">
        <v>7</v>
      </c>
      <c r="Q52" s="103" t="s">
        <v>390</v>
      </c>
      <c r="R52" s="105" t="s">
        <v>91</v>
      </c>
    </row>
    <row r="53" spans="1:18" ht="18" customHeight="1" x14ac:dyDescent="0.25">
      <c r="A53" s="170"/>
      <c r="B53" s="126"/>
      <c r="C53" s="127"/>
      <c r="D53" s="145"/>
      <c r="E53" s="146"/>
      <c r="F53" s="147" t="str">
        <f t="shared" ref="F53" si="96">"DI"&amp;E52&amp;"+"</f>
        <v>DI26+</v>
      </c>
      <c r="G53" s="127"/>
      <c r="H53" s="127"/>
      <c r="I53" s="59" t="str">
        <f t="shared" ref="I53" si="97">E52&amp;"b"</f>
        <v>26b</v>
      </c>
      <c r="J53" s="129"/>
      <c r="K53" s="127"/>
      <c r="L53" s="59" t="s">
        <v>378</v>
      </c>
      <c r="M53" s="59" t="s">
        <v>440</v>
      </c>
      <c r="N53" s="147" t="str">
        <f ca="1">D52&amp;"/"&amp;F53</f>
        <v>007/DI26+</v>
      </c>
      <c r="O53" s="59" t="s">
        <v>484</v>
      </c>
      <c r="P53" s="59">
        <v>8</v>
      </c>
      <c r="Q53" s="128"/>
      <c r="R53" s="130"/>
    </row>
    <row r="54" spans="1:18" ht="18" customHeight="1" x14ac:dyDescent="0.25">
      <c r="A54" s="171" t="s">
        <v>471</v>
      </c>
      <c r="B54" s="120" t="s">
        <v>147</v>
      </c>
      <c r="C54" s="121" t="s">
        <v>83</v>
      </c>
      <c r="D54" s="148" t="str" cm="1">
        <f t="array" aca="1" ref="D54" ca="1">_xlfn.LET(_xlpm.filepath,CELL("filename",D54),MID(_xlpm.filepath,FIND("]",_xlpm.filepath)+1,3))</f>
        <v>007</v>
      </c>
      <c r="E54" s="149">
        <v>27</v>
      </c>
      <c r="F54" s="123" t="str">
        <f t="shared" ref="F54" si="98">"S"&amp;E54&amp;"+"</f>
        <v>S27+</v>
      </c>
      <c r="G54" s="121" t="str">
        <f t="shared" ref="G54" si="99">G52</f>
        <v>X-DI 32 05</v>
      </c>
      <c r="H54" s="121" t="str">
        <f t="shared" ref="H54" si="100">H50</f>
        <v>X-CB 005 01</v>
      </c>
      <c r="I54" s="53" t="str">
        <f t="shared" ref="I54" si="101">E54&amp;"a"</f>
        <v>27a</v>
      </c>
      <c r="J54" s="121" t="s">
        <v>63</v>
      </c>
      <c r="K54" s="121" t="s">
        <v>148</v>
      </c>
      <c r="L54" s="53" t="s">
        <v>450</v>
      </c>
      <c r="M54" s="53" t="s">
        <v>440</v>
      </c>
      <c r="N54" s="123" t="str">
        <f ca="1">D54&amp;"/"&amp;F54</f>
        <v>007/S27+</v>
      </c>
      <c r="O54" s="53" t="s">
        <v>484</v>
      </c>
      <c r="P54" s="53">
        <v>11</v>
      </c>
      <c r="Q54" s="124" t="s">
        <v>390</v>
      </c>
      <c r="R54" s="150">
        <v>0</v>
      </c>
    </row>
    <row r="55" spans="1:18" ht="18" customHeight="1" x14ac:dyDescent="0.25">
      <c r="A55" s="168"/>
      <c r="B55" s="138"/>
      <c r="C55" s="139"/>
      <c r="D55" s="140"/>
      <c r="E55" s="141"/>
      <c r="F55" s="117" t="str">
        <f t="shared" ref="F55" si="102">"DI"&amp;E54&amp;"+"</f>
        <v>DI27+</v>
      </c>
      <c r="G55" s="139"/>
      <c r="H55" s="139"/>
      <c r="I55" s="55" t="str">
        <f t="shared" ref="I55" si="103">E54&amp;"b"</f>
        <v>27b</v>
      </c>
      <c r="J55" s="139"/>
      <c r="K55" s="139"/>
      <c r="L55" s="55" t="s">
        <v>378</v>
      </c>
      <c r="M55" s="55" t="s">
        <v>440</v>
      </c>
      <c r="N55" s="117" t="str">
        <f ca="1">D54&amp;"/"&amp;F55</f>
        <v>007/DI27+</v>
      </c>
      <c r="O55" s="55" t="s">
        <v>484</v>
      </c>
      <c r="P55" s="55">
        <v>12</v>
      </c>
      <c r="Q55" s="142"/>
      <c r="R55" s="151"/>
    </row>
    <row r="56" spans="1:18" ht="18" customHeight="1" x14ac:dyDescent="0.25">
      <c r="A56" s="169" t="s">
        <v>472</v>
      </c>
      <c r="B56" s="101" t="s">
        <v>149</v>
      </c>
      <c r="C56" s="102" t="s">
        <v>83</v>
      </c>
      <c r="D56" s="143" t="str" cm="1">
        <f t="array" aca="1" ref="D56" ca="1">_xlfn.LET(_xlpm.filepath,CELL("filename",D56),MID(_xlpm.filepath,FIND("]",_xlpm.filepath)+1,3))</f>
        <v>007</v>
      </c>
      <c r="E56" s="144" t="s">
        <v>145</v>
      </c>
      <c r="F56" s="104" t="str">
        <f t="shared" ref="F56" si="104">"S"&amp;E56&amp;"+"</f>
        <v>S28+</v>
      </c>
      <c r="G56" s="102" t="str">
        <f t="shared" ref="G56:H56" si="105">G54</f>
        <v>X-DI 32 05</v>
      </c>
      <c r="H56" s="102" t="str">
        <f t="shared" si="105"/>
        <v>X-CB 005 01</v>
      </c>
      <c r="I56" s="58" t="str">
        <f t="shared" ref="I56" si="106">E56&amp;"a"</f>
        <v>28a</v>
      </c>
      <c r="J56" s="102" t="s">
        <v>63</v>
      </c>
      <c r="K56" s="102" t="s">
        <v>151</v>
      </c>
      <c r="L56" s="58" t="s">
        <v>450</v>
      </c>
      <c r="M56" s="58" t="s">
        <v>440</v>
      </c>
      <c r="N56" s="104" t="str">
        <f ca="1">D56&amp;"/"&amp;F56</f>
        <v>007/S28+</v>
      </c>
      <c r="O56" s="58" t="s">
        <v>484</v>
      </c>
      <c r="P56" s="58">
        <v>15</v>
      </c>
      <c r="Q56" s="103" t="s">
        <v>390</v>
      </c>
      <c r="R56" s="105" t="s">
        <v>91</v>
      </c>
    </row>
    <row r="57" spans="1:18" ht="18" customHeight="1" x14ac:dyDescent="0.25">
      <c r="A57" s="170"/>
      <c r="B57" s="126"/>
      <c r="C57" s="127"/>
      <c r="D57" s="145"/>
      <c r="E57" s="146"/>
      <c r="F57" s="147" t="str">
        <f t="shared" ref="F57" si="107">"DI"&amp;E56&amp;"+"</f>
        <v>DI28+</v>
      </c>
      <c r="G57" s="127"/>
      <c r="H57" s="127"/>
      <c r="I57" s="59" t="str">
        <f t="shared" ref="I57" si="108">E56&amp;"b"</f>
        <v>28b</v>
      </c>
      <c r="J57" s="129"/>
      <c r="K57" s="127"/>
      <c r="L57" s="59" t="s">
        <v>378</v>
      </c>
      <c r="M57" s="59" t="s">
        <v>440</v>
      </c>
      <c r="N57" s="147" t="str">
        <f ca="1">D56&amp;"/"&amp;F57</f>
        <v>007/DI28+</v>
      </c>
      <c r="O57" s="59" t="s">
        <v>484</v>
      </c>
      <c r="P57" s="59">
        <v>16</v>
      </c>
      <c r="Q57" s="128"/>
      <c r="R57" s="130"/>
    </row>
    <row r="58" spans="1:18" ht="18" customHeight="1" x14ac:dyDescent="0.25">
      <c r="A58" s="171" t="s">
        <v>473</v>
      </c>
      <c r="B58" s="120" t="s">
        <v>152</v>
      </c>
      <c r="C58" s="121" t="s">
        <v>83</v>
      </c>
      <c r="D58" s="148" t="str" cm="1">
        <f t="array" aca="1" ref="D58" ca="1">_xlfn.LET(_xlpm.filepath,CELL("filename",D58),MID(_xlpm.filepath,FIND("]",_xlpm.filepath)+1,3))</f>
        <v>007</v>
      </c>
      <c r="E58" s="149">
        <v>29</v>
      </c>
      <c r="F58" s="123" t="str">
        <f t="shared" ref="F58" si="109">"S"&amp;E58&amp;"+"</f>
        <v>S29+</v>
      </c>
      <c r="G58" s="121" t="str">
        <f t="shared" ref="G58" si="110">G56</f>
        <v>X-DI 32 05</v>
      </c>
      <c r="H58" s="121" t="str">
        <f t="shared" ref="H58" si="111">H54</f>
        <v>X-CB 005 01</v>
      </c>
      <c r="I58" s="53" t="str">
        <f t="shared" ref="I58:I62" si="112">E58&amp;"a"</f>
        <v>29a</v>
      </c>
      <c r="J58" s="121" t="s">
        <v>63</v>
      </c>
      <c r="K58" s="121" t="s">
        <v>153</v>
      </c>
      <c r="L58" s="53" t="s">
        <v>450</v>
      </c>
      <c r="M58" s="53" t="s">
        <v>440</v>
      </c>
      <c r="N58" s="123" t="str">
        <f ca="1">D58&amp;"/"&amp;F58</f>
        <v>007/S29+</v>
      </c>
      <c r="O58" s="53" t="s">
        <v>484</v>
      </c>
      <c r="P58" s="53">
        <v>19</v>
      </c>
      <c r="Q58" s="124" t="s">
        <v>390</v>
      </c>
      <c r="R58" s="150">
        <v>0</v>
      </c>
    </row>
    <row r="59" spans="1:18" ht="18" customHeight="1" x14ac:dyDescent="0.25">
      <c r="A59" s="168"/>
      <c r="B59" s="138"/>
      <c r="C59" s="139"/>
      <c r="D59" s="140"/>
      <c r="E59" s="141"/>
      <c r="F59" s="117" t="str">
        <f t="shared" ref="F59" si="113">"DI"&amp;E58&amp;"+"</f>
        <v>DI29+</v>
      </c>
      <c r="G59" s="139"/>
      <c r="H59" s="139"/>
      <c r="I59" s="55" t="str">
        <f t="shared" ref="I59:I63" si="114">E58&amp;"b"</f>
        <v>29b</v>
      </c>
      <c r="J59" s="139"/>
      <c r="K59" s="139"/>
      <c r="L59" s="55" t="s">
        <v>378</v>
      </c>
      <c r="M59" s="55" t="s">
        <v>440</v>
      </c>
      <c r="N59" s="117" t="str">
        <f ca="1">D58&amp;"/"&amp;F59</f>
        <v>007/DI29+</v>
      </c>
      <c r="O59" s="55" t="s">
        <v>484</v>
      </c>
      <c r="P59" s="55">
        <v>20</v>
      </c>
      <c r="Q59" s="142"/>
      <c r="R59" s="151"/>
    </row>
    <row r="60" spans="1:18" ht="18" customHeight="1" x14ac:dyDescent="0.25">
      <c r="A60" s="169" t="s">
        <v>167</v>
      </c>
      <c r="B60" s="101" t="s">
        <v>168</v>
      </c>
      <c r="C60" s="102" t="s">
        <v>83</v>
      </c>
      <c r="D60" s="143" t="str" cm="1">
        <f t="array" aca="1" ref="D60" ca="1">_xlfn.LET(_xlpm.filepath,CELL("filename",D60),MID(_xlpm.filepath,FIND("]",_xlpm.filepath)+1,3))</f>
        <v>007</v>
      </c>
      <c r="E60" s="144" t="s">
        <v>150</v>
      </c>
      <c r="F60" s="104" t="str">
        <f t="shared" ref="F60" si="115">"S"&amp;E60&amp;"+"</f>
        <v>S30+</v>
      </c>
      <c r="G60" s="102" t="str">
        <f t="shared" ref="G60:H60" si="116">G58</f>
        <v>X-DI 32 05</v>
      </c>
      <c r="H60" s="102" t="str">
        <f t="shared" si="116"/>
        <v>X-CB 005 01</v>
      </c>
      <c r="I60" s="58" t="str">
        <f t="shared" ref="I60" si="117">E60&amp;"a"</f>
        <v>30a</v>
      </c>
      <c r="J60" s="102" t="s">
        <v>56</v>
      </c>
      <c r="K60" s="102" t="s">
        <v>169</v>
      </c>
      <c r="L60" s="58" t="s">
        <v>450</v>
      </c>
      <c r="M60" s="58" t="s">
        <v>440</v>
      </c>
      <c r="N60" s="104" t="str">
        <f ca="1">D60&amp;"/"&amp;F60</f>
        <v>007/S30+</v>
      </c>
      <c r="O60" s="58" t="s">
        <v>506</v>
      </c>
      <c r="P60" s="58">
        <v>1</v>
      </c>
      <c r="Q60" s="103" t="s">
        <v>390</v>
      </c>
      <c r="R60" s="105" t="s">
        <v>91</v>
      </c>
    </row>
    <row r="61" spans="1:18" ht="18" customHeight="1" x14ac:dyDescent="0.25">
      <c r="A61" s="170"/>
      <c r="B61" s="126"/>
      <c r="C61" s="127"/>
      <c r="D61" s="145"/>
      <c r="E61" s="146"/>
      <c r="F61" s="147" t="str">
        <f t="shared" ref="F61" si="118">"DI"&amp;E60&amp;"+"</f>
        <v>DI30+</v>
      </c>
      <c r="G61" s="127"/>
      <c r="H61" s="127"/>
      <c r="I61" s="59" t="str">
        <f t="shared" ref="I61" si="119">E60&amp;"b"</f>
        <v>30b</v>
      </c>
      <c r="J61" s="129"/>
      <c r="K61" s="127"/>
      <c r="L61" s="59" t="s">
        <v>378</v>
      </c>
      <c r="M61" s="59" t="s">
        <v>440</v>
      </c>
      <c r="N61" s="147" t="str">
        <f ca="1">D60&amp;"/"&amp;F61</f>
        <v>007/DI30+</v>
      </c>
      <c r="O61" s="59" t="s">
        <v>506</v>
      </c>
      <c r="P61" s="59">
        <v>2</v>
      </c>
      <c r="Q61" s="128"/>
      <c r="R61" s="130"/>
    </row>
    <row r="62" spans="1:18" ht="18" customHeight="1" x14ac:dyDescent="0.25">
      <c r="A62" s="171" t="s">
        <v>177</v>
      </c>
      <c r="B62" s="120" t="s">
        <v>178</v>
      </c>
      <c r="C62" s="121" t="s">
        <v>83</v>
      </c>
      <c r="D62" s="148" t="str" cm="1">
        <f t="array" aca="1" ref="D62" ca="1">_xlfn.LET(_xlpm.filepath,CELL("filename",D62),MID(_xlpm.filepath,FIND("]",_xlpm.filepath)+1,3))</f>
        <v>007</v>
      </c>
      <c r="E62" s="149">
        <v>31</v>
      </c>
      <c r="F62" s="123" t="str">
        <f t="shared" ref="F62" si="120">"S"&amp;E62&amp;"+"</f>
        <v>S31+</v>
      </c>
      <c r="G62" s="121" t="str">
        <f t="shared" ref="G62" si="121">G60</f>
        <v>X-DI 32 05</v>
      </c>
      <c r="H62" s="121" t="str">
        <f t="shared" ref="H62" si="122">H58</f>
        <v>X-CB 005 01</v>
      </c>
      <c r="I62" s="53" t="str">
        <f t="shared" si="112"/>
        <v>31a</v>
      </c>
      <c r="J62" s="121" t="s">
        <v>75</v>
      </c>
      <c r="K62" s="121" t="s">
        <v>510</v>
      </c>
      <c r="L62" s="53" t="s">
        <v>450</v>
      </c>
      <c r="M62" s="53" t="s">
        <v>440</v>
      </c>
      <c r="N62" s="123" t="str">
        <f ca="1">D62&amp;"/"&amp;F62</f>
        <v>007/S31+</v>
      </c>
      <c r="O62" s="53" t="s">
        <v>511</v>
      </c>
      <c r="P62" s="53">
        <v>1</v>
      </c>
      <c r="Q62" s="124" t="s">
        <v>390</v>
      </c>
      <c r="R62" s="150">
        <v>0</v>
      </c>
    </row>
    <row r="63" spans="1:18" ht="18" customHeight="1" x14ac:dyDescent="0.25">
      <c r="A63" s="168"/>
      <c r="B63" s="138"/>
      <c r="C63" s="139"/>
      <c r="D63" s="140"/>
      <c r="E63" s="141"/>
      <c r="F63" s="117" t="str">
        <f t="shared" ref="F63" si="123">"DI"&amp;E62&amp;"+"</f>
        <v>DI31+</v>
      </c>
      <c r="G63" s="139"/>
      <c r="H63" s="139"/>
      <c r="I63" s="55" t="str">
        <f t="shared" si="114"/>
        <v>31b</v>
      </c>
      <c r="J63" s="139"/>
      <c r="K63" s="139"/>
      <c r="L63" s="55" t="s">
        <v>378</v>
      </c>
      <c r="M63" s="55" t="s">
        <v>440</v>
      </c>
      <c r="N63" s="117" t="str">
        <f ca="1">D62&amp;"/"&amp;F63</f>
        <v>007/DI31+</v>
      </c>
      <c r="O63" s="55" t="s">
        <v>511</v>
      </c>
      <c r="P63" s="55">
        <v>2</v>
      </c>
      <c r="Q63" s="142"/>
      <c r="R63" s="151"/>
    </row>
    <row r="64" spans="1:18" ht="18" customHeight="1" x14ac:dyDescent="0.25">
      <c r="A64" s="100" t="s">
        <v>188</v>
      </c>
      <c r="B64" s="101" t="s">
        <v>189</v>
      </c>
      <c r="C64" s="102" t="s">
        <v>83</v>
      </c>
      <c r="D64" s="143" t="str" cm="1">
        <f t="array" aca="1" ref="D64" ca="1">_xlfn.LET(_xlpm.filepath,CELL("filename",D64),MID(_xlpm.filepath,FIND("]",_xlpm.filepath)+1,3))</f>
        <v>007</v>
      </c>
      <c r="E64" s="144" t="s">
        <v>154</v>
      </c>
      <c r="F64" s="152" t="str">
        <f t="shared" ref="F64" si="124">"S"&amp;E64&amp;"+"</f>
        <v>S32+</v>
      </c>
      <c r="G64" s="102" t="str">
        <f>G62</f>
        <v>X-DI 32 05</v>
      </c>
      <c r="H64" s="102" t="str">
        <f>H62</f>
        <v>X-CB 005 01</v>
      </c>
      <c r="I64" s="58" t="str">
        <f t="shared" ref="I64" si="125">E64&amp;"a"</f>
        <v>32a</v>
      </c>
      <c r="J64" s="102" t="s">
        <v>56</v>
      </c>
      <c r="K64" s="102" t="s">
        <v>190</v>
      </c>
      <c r="L64" s="58" t="s">
        <v>450</v>
      </c>
      <c r="M64" s="58" t="s">
        <v>440</v>
      </c>
      <c r="N64" s="103" t="str">
        <f ca="1">D64&amp;"/"&amp;F64</f>
        <v>007/S32+</v>
      </c>
      <c r="O64" s="58" t="s">
        <v>514</v>
      </c>
      <c r="P64" s="58">
        <v>1</v>
      </c>
      <c r="Q64" s="103" t="s">
        <v>390</v>
      </c>
      <c r="R64" s="105" t="s">
        <v>91</v>
      </c>
    </row>
    <row r="65" spans="1:18" ht="18" customHeight="1" thickBot="1" x14ac:dyDescent="0.3">
      <c r="A65" s="153"/>
      <c r="B65" s="154"/>
      <c r="C65" s="155"/>
      <c r="D65" s="156"/>
      <c r="E65" s="157"/>
      <c r="F65" s="158" t="str">
        <f t="shared" ref="F65" si="126">"DI"&amp;E64&amp;"+"</f>
        <v>DI32+</v>
      </c>
      <c r="G65" s="155"/>
      <c r="H65" s="155"/>
      <c r="I65" s="62" t="str">
        <f t="shared" ref="I65" si="127">E64&amp;"b"</f>
        <v>32b</v>
      </c>
      <c r="J65" s="159"/>
      <c r="K65" s="155"/>
      <c r="L65" s="62" t="s">
        <v>378</v>
      </c>
      <c r="M65" s="62" t="s">
        <v>440</v>
      </c>
      <c r="N65" s="160" t="str">
        <f ca="1">D64&amp;"/"&amp;F65</f>
        <v>007/DI32+</v>
      </c>
      <c r="O65" s="62" t="s">
        <v>514</v>
      </c>
      <c r="P65" s="62">
        <v>2</v>
      </c>
      <c r="Q65" s="160"/>
      <c r="R65" s="161"/>
    </row>
  </sheetData>
  <pageMargins left="0.23622047244094491" right="0.23622047244094491" top="0.74803149606299213" bottom="0.74803149606299213" header="0.31496062992125984" footer="0.31496062992125984"/>
  <pageSetup paperSize="8" scale="70" fitToHeight="0" orientation="landscape" r:id="rId1"/>
  <headerFooter scaleWithDoc="0">
    <oddHeader>&amp;CSlot/Type: &amp;A</oddHeader>
    <oddFooter>&amp;L&amp;F&amp;R&amp;P of &amp;N</oddFooter>
  </headerFooter>
  <rowBreaks count="1" manualBreakCount="1">
    <brk id="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9A20-0BBD-4874-A99A-FE7BDBC46336}">
  <dimension ref="A1:T65"/>
  <sheetViews>
    <sheetView view="pageBreakPreview" zoomScaleNormal="100" zoomScaleSheetLayoutView="100" workbookViewId="0">
      <selection activeCell="M30" sqref="M30"/>
    </sheetView>
  </sheetViews>
  <sheetFormatPr defaultRowHeight="15" x14ac:dyDescent="0.25"/>
  <cols>
    <col min="1" max="1" width="19.5703125" customWidth="1"/>
    <col min="2" max="2" width="61.28515625" bestFit="1" customWidth="1"/>
    <col min="4" max="4" width="9.140625" style="51"/>
    <col min="5" max="5" width="9.140625" style="50"/>
    <col min="7" max="7" width="11.140625" customWidth="1"/>
    <col min="8" max="8" width="14.7109375" customWidth="1"/>
    <col min="9" max="9" width="8.5703125" customWidth="1"/>
    <col min="10" max="10" width="21.140625" customWidth="1"/>
    <col min="11" max="11" width="18.85546875" bestFit="1" customWidth="1"/>
    <col min="13" max="13" width="15" customWidth="1"/>
    <col min="14" max="14" width="20.5703125" bestFit="1" customWidth="1"/>
    <col min="15" max="15" width="17.7109375" customWidth="1"/>
    <col min="16" max="16" width="10.42578125" style="12" customWidth="1"/>
    <col min="17" max="17" width="8.42578125" customWidth="1"/>
    <col min="18" max="18" width="6.42578125" customWidth="1"/>
    <col min="256" max="256" width="19.5703125" customWidth="1"/>
    <col min="257" max="257" width="52.7109375" customWidth="1"/>
    <col min="262" max="262" width="11.140625" customWidth="1"/>
    <col min="263" max="263" width="14.7109375" customWidth="1"/>
    <col min="264" max="264" width="21.140625" customWidth="1"/>
    <col min="265" max="265" width="14.42578125" customWidth="1"/>
    <col min="267" max="267" width="20.5703125" bestFit="1" customWidth="1"/>
    <col min="268" max="268" width="17.7109375" customWidth="1"/>
    <col min="269" max="269" width="10.42578125" customWidth="1"/>
    <col min="270" max="270" width="8.42578125" customWidth="1"/>
    <col min="271" max="271" width="6.42578125" customWidth="1"/>
    <col min="272" max="272" width="22.5703125" customWidth="1"/>
    <col min="512" max="512" width="19.5703125" customWidth="1"/>
    <col min="513" max="513" width="52.7109375" customWidth="1"/>
    <col min="518" max="518" width="11.140625" customWidth="1"/>
    <col min="519" max="519" width="14.7109375" customWidth="1"/>
    <col min="520" max="520" width="21.140625" customWidth="1"/>
    <col min="521" max="521" width="14.42578125" customWidth="1"/>
    <col min="523" max="523" width="20.5703125" bestFit="1" customWidth="1"/>
    <col min="524" max="524" width="17.7109375" customWidth="1"/>
    <col min="525" max="525" width="10.42578125" customWidth="1"/>
    <col min="526" max="526" width="8.42578125" customWidth="1"/>
    <col min="527" max="527" width="6.42578125" customWidth="1"/>
    <col min="528" max="528" width="22.5703125" customWidth="1"/>
    <col min="768" max="768" width="19.5703125" customWidth="1"/>
    <col min="769" max="769" width="52.7109375" customWidth="1"/>
    <col min="774" max="774" width="11.140625" customWidth="1"/>
    <col min="775" max="775" width="14.7109375" customWidth="1"/>
    <col min="776" max="776" width="21.140625" customWidth="1"/>
    <col min="777" max="777" width="14.42578125" customWidth="1"/>
    <col min="779" max="779" width="20.5703125" bestFit="1" customWidth="1"/>
    <col min="780" max="780" width="17.7109375" customWidth="1"/>
    <col min="781" max="781" width="10.42578125" customWidth="1"/>
    <col min="782" max="782" width="8.42578125" customWidth="1"/>
    <col min="783" max="783" width="6.42578125" customWidth="1"/>
    <col min="784" max="784" width="22.5703125" customWidth="1"/>
    <col min="1024" max="1024" width="19.5703125" customWidth="1"/>
    <col min="1025" max="1025" width="52.7109375" customWidth="1"/>
    <col min="1030" max="1030" width="11.140625" customWidth="1"/>
    <col min="1031" max="1031" width="14.7109375" customWidth="1"/>
    <col min="1032" max="1032" width="21.140625" customWidth="1"/>
    <col min="1033" max="1033" width="14.42578125" customWidth="1"/>
    <col min="1035" max="1035" width="20.5703125" bestFit="1" customWidth="1"/>
    <col min="1036" max="1036" width="17.7109375" customWidth="1"/>
    <col min="1037" max="1037" width="10.42578125" customWidth="1"/>
    <col min="1038" max="1038" width="8.42578125" customWidth="1"/>
    <col min="1039" max="1039" width="6.42578125" customWidth="1"/>
    <col min="1040" max="1040" width="22.5703125" customWidth="1"/>
    <col min="1280" max="1280" width="19.5703125" customWidth="1"/>
    <col min="1281" max="1281" width="52.7109375" customWidth="1"/>
    <col min="1286" max="1286" width="11.140625" customWidth="1"/>
    <col min="1287" max="1287" width="14.7109375" customWidth="1"/>
    <col min="1288" max="1288" width="21.140625" customWidth="1"/>
    <col min="1289" max="1289" width="14.42578125" customWidth="1"/>
    <col min="1291" max="1291" width="20.5703125" bestFit="1" customWidth="1"/>
    <col min="1292" max="1292" width="17.7109375" customWidth="1"/>
    <col min="1293" max="1293" width="10.42578125" customWidth="1"/>
    <col min="1294" max="1294" width="8.42578125" customWidth="1"/>
    <col min="1295" max="1295" width="6.42578125" customWidth="1"/>
    <col min="1296" max="1296" width="22.5703125" customWidth="1"/>
    <col min="1536" max="1536" width="19.5703125" customWidth="1"/>
    <col min="1537" max="1537" width="52.7109375" customWidth="1"/>
    <col min="1542" max="1542" width="11.140625" customWidth="1"/>
    <col min="1543" max="1543" width="14.7109375" customWidth="1"/>
    <col min="1544" max="1544" width="21.140625" customWidth="1"/>
    <col min="1545" max="1545" width="14.42578125" customWidth="1"/>
    <col min="1547" max="1547" width="20.5703125" bestFit="1" customWidth="1"/>
    <col min="1548" max="1548" width="17.7109375" customWidth="1"/>
    <col min="1549" max="1549" width="10.42578125" customWidth="1"/>
    <col min="1550" max="1550" width="8.42578125" customWidth="1"/>
    <col min="1551" max="1551" width="6.42578125" customWidth="1"/>
    <col min="1552" max="1552" width="22.5703125" customWidth="1"/>
    <col min="1792" max="1792" width="19.5703125" customWidth="1"/>
    <col min="1793" max="1793" width="52.7109375" customWidth="1"/>
    <col min="1798" max="1798" width="11.140625" customWidth="1"/>
    <col min="1799" max="1799" width="14.7109375" customWidth="1"/>
    <col min="1800" max="1800" width="21.140625" customWidth="1"/>
    <col min="1801" max="1801" width="14.42578125" customWidth="1"/>
    <col min="1803" max="1803" width="20.5703125" bestFit="1" customWidth="1"/>
    <col min="1804" max="1804" width="17.7109375" customWidth="1"/>
    <col min="1805" max="1805" width="10.42578125" customWidth="1"/>
    <col min="1806" max="1806" width="8.42578125" customWidth="1"/>
    <col min="1807" max="1807" width="6.42578125" customWidth="1"/>
    <col min="1808" max="1808" width="22.5703125" customWidth="1"/>
    <col min="2048" max="2048" width="19.5703125" customWidth="1"/>
    <col min="2049" max="2049" width="52.7109375" customWidth="1"/>
    <col min="2054" max="2054" width="11.140625" customWidth="1"/>
    <col min="2055" max="2055" width="14.7109375" customWidth="1"/>
    <col min="2056" max="2056" width="21.140625" customWidth="1"/>
    <col min="2057" max="2057" width="14.42578125" customWidth="1"/>
    <col min="2059" max="2059" width="20.5703125" bestFit="1" customWidth="1"/>
    <col min="2060" max="2060" width="17.7109375" customWidth="1"/>
    <col min="2061" max="2061" width="10.42578125" customWidth="1"/>
    <col min="2062" max="2062" width="8.42578125" customWidth="1"/>
    <col min="2063" max="2063" width="6.42578125" customWidth="1"/>
    <col min="2064" max="2064" width="22.5703125" customWidth="1"/>
    <col min="2304" max="2304" width="19.5703125" customWidth="1"/>
    <col min="2305" max="2305" width="52.7109375" customWidth="1"/>
    <col min="2310" max="2310" width="11.140625" customWidth="1"/>
    <col min="2311" max="2311" width="14.7109375" customWidth="1"/>
    <col min="2312" max="2312" width="21.140625" customWidth="1"/>
    <col min="2313" max="2313" width="14.42578125" customWidth="1"/>
    <col min="2315" max="2315" width="20.5703125" bestFit="1" customWidth="1"/>
    <col min="2316" max="2316" width="17.7109375" customWidth="1"/>
    <col min="2317" max="2317" width="10.42578125" customWidth="1"/>
    <col min="2318" max="2318" width="8.42578125" customWidth="1"/>
    <col min="2319" max="2319" width="6.42578125" customWidth="1"/>
    <col min="2320" max="2320" width="22.5703125" customWidth="1"/>
    <col min="2560" max="2560" width="19.5703125" customWidth="1"/>
    <col min="2561" max="2561" width="52.7109375" customWidth="1"/>
    <col min="2566" max="2566" width="11.140625" customWidth="1"/>
    <col min="2567" max="2567" width="14.7109375" customWidth="1"/>
    <col min="2568" max="2568" width="21.140625" customWidth="1"/>
    <col min="2569" max="2569" width="14.42578125" customWidth="1"/>
    <col min="2571" max="2571" width="20.5703125" bestFit="1" customWidth="1"/>
    <col min="2572" max="2572" width="17.7109375" customWidth="1"/>
    <col min="2573" max="2573" width="10.42578125" customWidth="1"/>
    <col min="2574" max="2574" width="8.42578125" customWidth="1"/>
    <col min="2575" max="2575" width="6.42578125" customWidth="1"/>
    <col min="2576" max="2576" width="22.5703125" customWidth="1"/>
    <col min="2816" max="2816" width="19.5703125" customWidth="1"/>
    <col min="2817" max="2817" width="52.7109375" customWidth="1"/>
    <col min="2822" max="2822" width="11.140625" customWidth="1"/>
    <col min="2823" max="2823" width="14.7109375" customWidth="1"/>
    <col min="2824" max="2824" width="21.140625" customWidth="1"/>
    <col min="2825" max="2825" width="14.42578125" customWidth="1"/>
    <col min="2827" max="2827" width="20.5703125" bestFit="1" customWidth="1"/>
    <col min="2828" max="2828" width="17.7109375" customWidth="1"/>
    <col min="2829" max="2829" width="10.42578125" customWidth="1"/>
    <col min="2830" max="2830" width="8.42578125" customWidth="1"/>
    <col min="2831" max="2831" width="6.42578125" customWidth="1"/>
    <col min="2832" max="2832" width="22.5703125" customWidth="1"/>
    <col min="3072" max="3072" width="19.5703125" customWidth="1"/>
    <col min="3073" max="3073" width="52.7109375" customWidth="1"/>
    <col min="3078" max="3078" width="11.140625" customWidth="1"/>
    <col min="3079" max="3079" width="14.7109375" customWidth="1"/>
    <col min="3080" max="3080" width="21.140625" customWidth="1"/>
    <col min="3081" max="3081" width="14.42578125" customWidth="1"/>
    <col min="3083" max="3083" width="20.5703125" bestFit="1" customWidth="1"/>
    <col min="3084" max="3084" width="17.7109375" customWidth="1"/>
    <col min="3085" max="3085" width="10.42578125" customWidth="1"/>
    <col min="3086" max="3086" width="8.42578125" customWidth="1"/>
    <col min="3087" max="3087" width="6.42578125" customWidth="1"/>
    <col min="3088" max="3088" width="22.5703125" customWidth="1"/>
    <col min="3328" max="3328" width="19.5703125" customWidth="1"/>
    <col min="3329" max="3329" width="52.7109375" customWidth="1"/>
    <col min="3334" max="3334" width="11.140625" customWidth="1"/>
    <col min="3335" max="3335" width="14.7109375" customWidth="1"/>
    <col min="3336" max="3336" width="21.140625" customWidth="1"/>
    <col min="3337" max="3337" width="14.42578125" customWidth="1"/>
    <col min="3339" max="3339" width="20.5703125" bestFit="1" customWidth="1"/>
    <col min="3340" max="3340" width="17.7109375" customWidth="1"/>
    <col min="3341" max="3341" width="10.42578125" customWidth="1"/>
    <col min="3342" max="3342" width="8.42578125" customWidth="1"/>
    <col min="3343" max="3343" width="6.42578125" customWidth="1"/>
    <col min="3344" max="3344" width="22.5703125" customWidth="1"/>
    <col min="3584" max="3584" width="19.5703125" customWidth="1"/>
    <col min="3585" max="3585" width="52.7109375" customWidth="1"/>
    <col min="3590" max="3590" width="11.140625" customWidth="1"/>
    <col min="3591" max="3591" width="14.7109375" customWidth="1"/>
    <col min="3592" max="3592" width="21.140625" customWidth="1"/>
    <col min="3593" max="3593" width="14.42578125" customWidth="1"/>
    <col min="3595" max="3595" width="20.5703125" bestFit="1" customWidth="1"/>
    <col min="3596" max="3596" width="17.7109375" customWidth="1"/>
    <col min="3597" max="3597" width="10.42578125" customWidth="1"/>
    <col min="3598" max="3598" width="8.42578125" customWidth="1"/>
    <col min="3599" max="3599" width="6.42578125" customWidth="1"/>
    <col min="3600" max="3600" width="22.5703125" customWidth="1"/>
    <col min="3840" max="3840" width="19.5703125" customWidth="1"/>
    <col min="3841" max="3841" width="52.7109375" customWidth="1"/>
    <col min="3846" max="3846" width="11.140625" customWidth="1"/>
    <col min="3847" max="3847" width="14.7109375" customWidth="1"/>
    <col min="3848" max="3848" width="21.140625" customWidth="1"/>
    <col min="3849" max="3849" width="14.42578125" customWidth="1"/>
    <col min="3851" max="3851" width="20.5703125" bestFit="1" customWidth="1"/>
    <col min="3852" max="3852" width="17.7109375" customWidth="1"/>
    <col min="3853" max="3853" width="10.42578125" customWidth="1"/>
    <col min="3854" max="3854" width="8.42578125" customWidth="1"/>
    <col min="3855" max="3855" width="6.42578125" customWidth="1"/>
    <col min="3856" max="3856" width="22.5703125" customWidth="1"/>
    <col min="4096" max="4096" width="19.5703125" customWidth="1"/>
    <col min="4097" max="4097" width="52.7109375" customWidth="1"/>
    <col min="4102" max="4102" width="11.140625" customWidth="1"/>
    <col min="4103" max="4103" width="14.7109375" customWidth="1"/>
    <col min="4104" max="4104" width="21.140625" customWidth="1"/>
    <col min="4105" max="4105" width="14.42578125" customWidth="1"/>
    <col min="4107" max="4107" width="20.5703125" bestFit="1" customWidth="1"/>
    <col min="4108" max="4108" width="17.7109375" customWidth="1"/>
    <col min="4109" max="4109" width="10.42578125" customWidth="1"/>
    <col min="4110" max="4110" width="8.42578125" customWidth="1"/>
    <col min="4111" max="4111" width="6.42578125" customWidth="1"/>
    <col min="4112" max="4112" width="22.5703125" customWidth="1"/>
    <col min="4352" max="4352" width="19.5703125" customWidth="1"/>
    <col min="4353" max="4353" width="52.7109375" customWidth="1"/>
    <col min="4358" max="4358" width="11.140625" customWidth="1"/>
    <col min="4359" max="4359" width="14.7109375" customWidth="1"/>
    <col min="4360" max="4360" width="21.140625" customWidth="1"/>
    <col min="4361" max="4361" width="14.42578125" customWidth="1"/>
    <col min="4363" max="4363" width="20.5703125" bestFit="1" customWidth="1"/>
    <col min="4364" max="4364" width="17.7109375" customWidth="1"/>
    <col min="4365" max="4365" width="10.42578125" customWidth="1"/>
    <col min="4366" max="4366" width="8.42578125" customWidth="1"/>
    <col min="4367" max="4367" width="6.42578125" customWidth="1"/>
    <col min="4368" max="4368" width="22.5703125" customWidth="1"/>
    <col min="4608" max="4608" width="19.5703125" customWidth="1"/>
    <col min="4609" max="4609" width="52.7109375" customWidth="1"/>
    <col min="4614" max="4614" width="11.140625" customWidth="1"/>
    <col min="4615" max="4615" width="14.7109375" customWidth="1"/>
    <col min="4616" max="4616" width="21.140625" customWidth="1"/>
    <col min="4617" max="4617" width="14.42578125" customWidth="1"/>
    <col min="4619" max="4619" width="20.5703125" bestFit="1" customWidth="1"/>
    <col min="4620" max="4620" width="17.7109375" customWidth="1"/>
    <col min="4621" max="4621" width="10.42578125" customWidth="1"/>
    <col min="4622" max="4622" width="8.42578125" customWidth="1"/>
    <col min="4623" max="4623" width="6.42578125" customWidth="1"/>
    <col min="4624" max="4624" width="22.5703125" customWidth="1"/>
    <col min="4864" max="4864" width="19.5703125" customWidth="1"/>
    <col min="4865" max="4865" width="52.7109375" customWidth="1"/>
    <col min="4870" max="4870" width="11.140625" customWidth="1"/>
    <col min="4871" max="4871" width="14.7109375" customWidth="1"/>
    <col min="4872" max="4872" width="21.140625" customWidth="1"/>
    <col min="4873" max="4873" width="14.42578125" customWidth="1"/>
    <col min="4875" max="4875" width="20.5703125" bestFit="1" customWidth="1"/>
    <col min="4876" max="4876" width="17.7109375" customWidth="1"/>
    <col min="4877" max="4877" width="10.42578125" customWidth="1"/>
    <col min="4878" max="4878" width="8.42578125" customWidth="1"/>
    <col min="4879" max="4879" width="6.42578125" customWidth="1"/>
    <col min="4880" max="4880" width="22.5703125" customWidth="1"/>
    <col min="5120" max="5120" width="19.5703125" customWidth="1"/>
    <col min="5121" max="5121" width="52.7109375" customWidth="1"/>
    <col min="5126" max="5126" width="11.140625" customWidth="1"/>
    <col min="5127" max="5127" width="14.7109375" customWidth="1"/>
    <col min="5128" max="5128" width="21.140625" customWidth="1"/>
    <col min="5129" max="5129" width="14.42578125" customWidth="1"/>
    <col min="5131" max="5131" width="20.5703125" bestFit="1" customWidth="1"/>
    <col min="5132" max="5132" width="17.7109375" customWidth="1"/>
    <col min="5133" max="5133" width="10.42578125" customWidth="1"/>
    <col min="5134" max="5134" width="8.42578125" customWidth="1"/>
    <col min="5135" max="5135" width="6.42578125" customWidth="1"/>
    <col min="5136" max="5136" width="22.5703125" customWidth="1"/>
    <col min="5376" max="5376" width="19.5703125" customWidth="1"/>
    <col min="5377" max="5377" width="52.7109375" customWidth="1"/>
    <col min="5382" max="5382" width="11.140625" customWidth="1"/>
    <col min="5383" max="5383" width="14.7109375" customWidth="1"/>
    <col min="5384" max="5384" width="21.140625" customWidth="1"/>
    <col min="5385" max="5385" width="14.42578125" customWidth="1"/>
    <col min="5387" max="5387" width="20.5703125" bestFit="1" customWidth="1"/>
    <col min="5388" max="5388" width="17.7109375" customWidth="1"/>
    <col min="5389" max="5389" width="10.42578125" customWidth="1"/>
    <col min="5390" max="5390" width="8.42578125" customWidth="1"/>
    <col min="5391" max="5391" width="6.42578125" customWidth="1"/>
    <col min="5392" max="5392" width="22.5703125" customWidth="1"/>
    <col min="5632" max="5632" width="19.5703125" customWidth="1"/>
    <col min="5633" max="5633" width="52.7109375" customWidth="1"/>
    <col min="5638" max="5638" width="11.140625" customWidth="1"/>
    <col min="5639" max="5639" width="14.7109375" customWidth="1"/>
    <col min="5640" max="5640" width="21.140625" customWidth="1"/>
    <col min="5641" max="5641" width="14.42578125" customWidth="1"/>
    <col min="5643" max="5643" width="20.5703125" bestFit="1" customWidth="1"/>
    <col min="5644" max="5644" width="17.7109375" customWidth="1"/>
    <col min="5645" max="5645" width="10.42578125" customWidth="1"/>
    <col min="5646" max="5646" width="8.42578125" customWidth="1"/>
    <col min="5647" max="5647" width="6.42578125" customWidth="1"/>
    <col min="5648" max="5648" width="22.5703125" customWidth="1"/>
    <col min="5888" max="5888" width="19.5703125" customWidth="1"/>
    <col min="5889" max="5889" width="52.7109375" customWidth="1"/>
    <col min="5894" max="5894" width="11.140625" customWidth="1"/>
    <col min="5895" max="5895" width="14.7109375" customWidth="1"/>
    <col min="5896" max="5896" width="21.140625" customWidth="1"/>
    <col min="5897" max="5897" width="14.42578125" customWidth="1"/>
    <col min="5899" max="5899" width="20.5703125" bestFit="1" customWidth="1"/>
    <col min="5900" max="5900" width="17.7109375" customWidth="1"/>
    <col min="5901" max="5901" width="10.42578125" customWidth="1"/>
    <col min="5902" max="5902" width="8.42578125" customWidth="1"/>
    <col min="5903" max="5903" width="6.42578125" customWidth="1"/>
    <col min="5904" max="5904" width="22.5703125" customWidth="1"/>
    <col min="6144" max="6144" width="19.5703125" customWidth="1"/>
    <col min="6145" max="6145" width="52.7109375" customWidth="1"/>
    <col min="6150" max="6150" width="11.140625" customWidth="1"/>
    <col min="6151" max="6151" width="14.7109375" customWidth="1"/>
    <col min="6152" max="6152" width="21.140625" customWidth="1"/>
    <col min="6153" max="6153" width="14.42578125" customWidth="1"/>
    <col min="6155" max="6155" width="20.5703125" bestFit="1" customWidth="1"/>
    <col min="6156" max="6156" width="17.7109375" customWidth="1"/>
    <col min="6157" max="6157" width="10.42578125" customWidth="1"/>
    <col min="6158" max="6158" width="8.42578125" customWidth="1"/>
    <col min="6159" max="6159" width="6.42578125" customWidth="1"/>
    <col min="6160" max="6160" width="22.5703125" customWidth="1"/>
    <col min="6400" max="6400" width="19.5703125" customWidth="1"/>
    <col min="6401" max="6401" width="52.7109375" customWidth="1"/>
    <col min="6406" max="6406" width="11.140625" customWidth="1"/>
    <col min="6407" max="6407" width="14.7109375" customWidth="1"/>
    <col min="6408" max="6408" width="21.140625" customWidth="1"/>
    <col min="6409" max="6409" width="14.42578125" customWidth="1"/>
    <col min="6411" max="6411" width="20.5703125" bestFit="1" customWidth="1"/>
    <col min="6412" max="6412" width="17.7109375" customWidth="1"/>
    <col min="6413" max="6413" width="10.42578125" customWidth="1"/>
    <col min="6414" max="6414" width="8.42578125" customWidth="1"/>
    <col min="6415" max="6415" width="6.42578125" customWidth="1"/>
    <col min="6416" max="6416" width="22.5703125" customWidth="1"/>
    <col min="6656" max="6656" width="19.5703125" customWidth="1"/>
    <col min="6657" max="6657" width="52.7109375" customWidth="1"/>
    <col min="6662" max="6662" width="11.140625" customWidth="1"/>
    <col min="6663" max="6663" width="14.7109375" customWidth="1"/>
    <col min="6664" max="6664" width="21.140625" customWidth="1"/>
    <col min="6665" max="6665" width="14.42578125" customWidth="1"/>
    <col min="6667" max="6667" width="20.5703125" bestFit="1" customWidth="1"/>
    <col min="6668" max="6668" width="17.7109375" customWidth="1"/>
    <col min="6669" max="6669" width="10.42578125" customWidth="1"/>
    <col min="6670" max="6670" width="8.42578125" customWidth="1"/>
    <col min="6671" max="6671" width="6.42578125" customWidth="1"/>
    <col min="6672" max="6672" width="22.5703125" customWidth="1"/>
    <col min="6912" max="6912" width="19.5703125" customWidth="1"/>
    <col min="6913" max="6913" width="52.7109375" customWidth="1"/>
    <col min="6918" max="6918" width="11.140625" customWidth="1"/>
    <col min="6919" max="6919" width="14.7109375" customWidth="1"/>
    <col min="6920" max="6920" width="21.140625" customWidth="1"/>
    <col min="6921" max="6921" width="14.42578125" customWidth="1"/>
    <col min="6923" max="6923" width="20.5703125" bestFit="1" customWidth="1"/>
    <col min="6924" max="6924" width="17.7109375" customWidth="1"/>
    <col min="6925" max="6925" width="10.42578125" customWidth="1"/>
    <col min="6926" max="6926" width="8.42578125" customWidth="1"/>
    <col min="6927" max="6927" width="6.42578125" customWidth="1"/>
    <col min="6928" max="6928" width="22.5703125" customWidth="1"/>
    <col min="7168" max="7168" width="19.5703125" customWidth="1"/>
    <col min="7169" max="7169" width="52.7109375" customWidth="1"/>
    <col min="7174" max="7174" width="11.140625" customWidth="1"/>
    <col min="7175" max="7175" width="14.7109375" customWidth="1"/>
    <col min="7176" max="7176" width="21.140625" customWidth="1"/>
    <col min="7177" max="7177" width="14.42578125" customWidth="1"/>
    <col min="7179" max="7179" width="20.5703125" bestFit="1" customWidth="1"/>
    <col min="7180" max="7180" width="17.7109375" customWidth="1"/>
    <col min="7181" max="7181" width="10.42578125" customWidth="1"/>
    <col min="7182" max="7182" width="8.42578125" customWidth="1"/>
    <col min="7183" max="7183" width="6.42578125" customWidth="1"/>
    <col min="7184" max="7184" width="22.5703125" customWidth="1"/>
    <col min="7424" max="7424" width="19.5703125" customWidth="1"/>
    <col min="7425" max="7425" width="52.7109375" customWidth="1"/>
    <col min="7430" max="7430" width="11.140625" customWidth="1"/>
    <col min="7431" max="7431" width="14.7109375" customWidth="1"/>
    <col min="7432" max="7432" width="21.140625" customWidth="1"/>
    <col min="7433" max="7433" width="14.42578125" customWidth="1"/>
    <col min="7435" max="7435" width="20.5703125" bestFit="1" customWidth="1"/>
    <col min="7436" max="7436" width="17.7109375" customWidth="1"/>
    <col min="7437" max="7437" width="10.42578125" customWidth="1"/>
    <col min="7438" max="7438" width="8.42578125" customWidth="1"/>
    <col min="7439" max="7439" width="6.42578125" customWidth="1"/>
    <col min="7440" max="7440" width="22.5703125" customWidth="1"/>
    <col min="7680" max="7680" width="19.5703125" customWidth="1"/>
    <col min="7681" max="7681" width="52.7109375" customWidth="1"/>
    <col min="7686" max="7686" width="11.140625" customWidth="1"/>
    <col min="7687" max="7687" width="14.7109375" customWidth="1"/>
    <col min="7688" max="7688" width="21.140625" customWidth="1"/>
    <col min="7689" max="7689" width="14.42578125" customWidth="1"/>
    <col min="7691" max="7691" width="20.5703125" bestFit="1" customWidth="1"/>
    <col min="7692" max="7692" width="17.7109375" customWidth="1"/>
    <col min="7693" max="7693" width="10.42578125" customWidth="1"/>
    <col min="7694" max="7694" width="8.42578125" customWidth="1"/>
    <col min="7695" max="7695" width="6.42578125" customWidth="1"/>
    <col min="7696" max="7696" width="22.5703125" customWidth="1"/>
    <col min="7936" max="7936" width="19.5703125" customWidth="1"/>
    <col min="7937" max="7937" width="52.7109375" customWidth="1"/>
    <col min="7942" max="7942" width="11.140625" customWidth="1"/>
    <col min="7943" max="7943" width="14.7109375" customWidth="1"/>
    <col min="7944" max="7944" width="21.140625" customWidth="1"/>
    <col min="7945" max="7945" width="14.42578125" customWidth="1"/>
    <col min="7947" max="7947" width="20.5703125" bestFit="1" customWidth="1"/>
    <col min="7948" max="7948" width="17.7109375" customWidth="1"/>
    <col min="7949" max="7949" width="10.42578125" customWidth="1"/>
    <col min="7950" max="7950" width="8.42578125" customWidth="1"/>
    <col min="7951" max="7951" width="6.42578125" customWidth="1"/>
    <col min="7952" max="7952" width="22.5703125" customWidth="1"/>
    <col min="8192" max="8192" width="19.5703125" customWidth="1"/>
    <col min="8193" max="8193" width="52.7109375" customWidth="1"/>
    <col min="8198" max="8198" width="11.140625" customWidth="1"/>
    <col min="8199" max="8199" width="14.7109375" customWidth="1"/>
    <col min="8200" max="8200" width="21.140625" customWidth="1"/>
    <col min="8201" max="8201" width="14.42578125" customWidth="1"/>
    <col min="8203" max="8203" width="20.5703125" bestFit="1" customWidth="1"/>
    <col min="8204" max="8204" width="17.7109375" customWidth="1"/>
    <col min="8205" max="8205" width="10.42578125" customWidth="1"/>
    <col min="8206" max="8206" width="8.42578125" customWidth="1"/>
    <col min="8207" max="8207" width="6.42578125" customWidth="1"/>
    <col min="8208" max="8208" width="22.5703125" customWidth="1"/>
    <col min="8448" max="8448" width="19.5703125" customWidth="1"/>
    <col min="8449" max="8449" width="52.7109375" customWidth="1"/>
    <col min="8454" max="8454" width="11.140625" customWidth="1"/>
    <col min="8455" max="8455" width="14.7109375" customWidth="1"/>
    <col min="8456" max="8456" width="21.140625" customWidth="1"/>
    <col min="8457" max="8457" width="14.42578125" customWidth="1"/>
    <col min="8459" max="8459" width="20.5703125" bestFit="1" customWidth="1"/>
    <col min="8460" max="8460" width="17.7109375" customWidth="1"/>
    <col min="8461" max="8461" width="10.42578125" customWidth="1"/>
    <col min="8462" max="8462" width="8.42578125" customWidth="1"/>
    <col min="8463" max="8463" width="6.42578125" customWidth="1"/>
    <col min="8464" max="8464" width="22.5703125" customWidth="1"/>
    <col min="8704" max="8704" width="19.5703125" customWidth="1"/>
    <col min="8705" max="8705" width="52.7109375" customWidth="1"/>
    <col min="8710" max="8710" width="11.140625" customWidth="1"/>
    <col min="8711" max="8711" width="14.7109375" customWidth="1"/>
    <col min="8712" max="8712" width="21.140625" customWidth="1"/>
    <col min="8713" max="8713" width="14.42578125" customWidth="1"/>
    <col min="8715" max="8715" width="20.5703125" bestFit="1" customWidth="1"/>
    <col min="8716" max="8716" width="17.7109375" customWidth="1"/>
    <col min="8717" max="8717" width="10.42578125" customWidth="1"/>
    <col min="8718" max="8718" width="8.42578125" customWidth="1"/>
    <col min="8719" max="8719" width="6.42578125" customWidth="1"/>
    <col min="8720" max="8720" width="22.5703125" customWidth="1"/>
    <col min="8960" max="8960" width="19.5703125" customWidth="1"/>
    <col min="8961" max="8961" width="52.7109375" customWidth="1"/>
    <col min="8966" max="8966" width="11.140625" customWidth="1"/>
    <col min="8967" max="8967" width="14.7109375" customWidth="1"/>
    <col min="8968" max="8968" width="21.140625" customWidth="1"/>
    <col min="8969" max="8969" width="14.42578125" customWidth="1"/>
    <col min="8971" max="8971" width="20.5703125" bestFit="1" customWidth="1"/>
    <col min="8972" max="8972" width="17.7109375" customWidth="1"/>
    <col min="8973" max="8973" width="10.42578125" customWidth="1"/>
    <col min="8974" max="8974" width="8.42578125" customWidth="1"/>
    <col min="8975" max="8975" width="6.42578125" customWidth="1"/>
    <col min="8976" max="8976" width="22.5703125" customWidth="1"/>
    <col min="9216" max="9216" width="19.5703125" customWidth="1"/>
    <col min="9217" max="9217" width="52.7109375" customWidth="1"/>
    <col min="9222" max="9222" width="11.140625" customWidth="1"/>
    <col min="9223" max="9223" width="14.7109375" customWidth="1"/>
    <col min="9224" max="9224" width="21.140625" customWidth="1"/>
    <col min="9225" max="9225" width="14.42578125" customWidth="1"/>
    <col min="9227" max="9227" width="20.5703125" bestFit="1" customWidth="1"/>
    <col min="9228" max="9228" width="17.7109375" customWidth="1"/>
    <col min="9229" max="9229" width="10.42578125" customWidth="1"/>
    <col min="9230" max="9230" width="8.42578125" customWidth="1"/>
    <col min="9231" max="9231" width="6.42578125" customWidth="1"/>
    <col min="9232" max="9232" width="22.5703125" customWidth="1"/>
    <col min="9472" max="9472" width="19.5703125" customWidth="1"/>
    <col min="9473" max="9473" width="52.7109375" customWidth="1"/>
    <col min="9478" max="9478" width="11.140625" customWidth="1"/>
    <col min="9479" max="9479" width="14.7109375" customWidth="1"/>
    <col min="9480" max="9480" width="21.140625" customWidth="1"/>
    <col min="9481" max="9481" width="14.42578125" customWidth="1"/>
    <col min="9483" max="9483" width="20.5703125" bestFit="1" customWidth="1"/>
    <col min="9484" max="9484" width="17.7109375" customWidth="1"/>
    <col min="9485" max="9485" width="10.42578125" customWidth="1"/>
    <col min="9486" max="9486" width="8.42578125" customWidth="1"/>
    <col min="9487" max="9487" width="6.42578125" customWidth="1"/>
    <col min="9488" max="9488" width="22.5703125" customWidth="1"/>
    <col min="9728" max="9728" width="19.5703125" customWidth="1"/>
    <col min="9729" max="9729" width="52.7109375" customWidth="1"/>
    <col min="9734" max="9734" width="11.140625" customWidth="1"/>
    <col min="9735" max="9735" width="14.7109375" customWidth="1"/>
    <col min="9736" max="9736" width="21.140625" customWidth="1"/>
    <col min="9737" max="9737" width="14.42578125" customWidth="1"/>
    <col min="9739" max="9739" width="20.5703125" bestFit="1" customWidth="1"/>
    <col min="9740" max="9740" width="17.7109375" customWidth="1"/>
    <col min="9741" max="9741" width="10.42578125" customWidth="1"/>
    <col min="9742" max="9742" width="8.42578125" customWidth="1"/>
    <col min="9743" max="9743" width="6.42578125" customWidth="1"/>
    <col min="9744" max="9744" width="22.5703125" customWidth="1"/>
    <col min="9984" max="9984" width="19.5703125" customWidth="1"/>
    <col min="9985" max="9985" width="52.7109375" customWidth="1"/>
    <col min="9990" max="9990" width="11.140625" customWidth="1"/>
    <col min="9991" max="9991" width="14.7109375" customWidth="1"/>
    <col min="9992" max="9992" width="21.140625" customWidth="1"/>
    <col min="9993" max="9993" width="14.42578125" customWidth="1"/>
    <col min="9995" max="9995" width="20.5703125" bestFit="1" customWidth="1"/>
    <col min="9996" max="9996" width="17.7109375" customWidth="1"/>
    <col min="9997" max="9997" width="10.42578125" customWidth="1"/>
    <col min="9998" max="9998" width="8.42578125" customWidth="1"/>
    <col min="9999" max="9999" width="6.42578125" customWidth="1"/>
    <col min="10000" max="10000" width="22.5703125" customWidth="1"/>
    <col min="10240" max="10240" width="19.5703125" customWidth="1"/>
    <col min="10241" max="10241" width="52.7109375" customWidth="1"/>
    <col min="10246" max="10246" width="11.140625" customWidth="1"/>
    <col min="10247" max="10247" width="14.7109375" customWidth="1"/>
    <col min="10248" max="10248" width="21.140625" customWidth="1"/>
    <col min="10249" max="10249" width="14.42578125" customWidth="1"/>
    <col min="10251" max="10251" width="20.5703125" bestFit="1" customWidth="1"/>
    <col min="10252" max="10252" width="17.7109375" customWidth="1"/>
    <col min="10253" max="10253" width="10.42578125" customWidth="1"/>
    <col min="10254" max="10254" width="8.42578125" customWidth="1"/>
    <col min="10255" max="10255" width="6.42578125" customWidth="1"/>
    <col min="10256" max="10256" width="22.5703125" customWidth="1"/>
    <col min="10496" max="10496" width="19.5703125" customWidth="1"/>
    <col min="10497" max="10497" width="52.7109375" customWidth="1"/>
    <col min="10502" max="10502" width="11.140625" customWidth="1"/>
    <col min="10503" max="10503" width="14.7109375" customWidth="1"/>
    <col min="10504" max="10504" width="21.140625" customWidth="1"/>
    <col min="10505" max="10505" width="14.42578125" customWidth="1"/>
    <col min="10507" max="10507" width="20.5703125" bestFit="1" customWidth="1"/>
    <col min="10508" max="10508" width="17.7109375" customWidth="1"/>
    <col min="10509" max="10509" width="10.42578125" customWidth="1"/>
    <col min="10510" max="10510" width="8.42578125" customWidth="1"/>
    <col min="10511" max="10511" width="6.42578125" customWidth="1"/>
    <col min="10512" max="10512" width="22.5703125" customWidth="1"/>
    <col min="10752" max="10752" width="19.5703125" customWidth="1"/>
    <col min="10753" max="10753" width="52.7109375" customWidth="1"/>
    <col min="10758" max="10758" width="11.140625" customWidth="1"/>
    <col min="10759" max="10759" width="14.7109375" customWidth="1"/>
    <col min="10760" max="10760" width="21.140625" customWidth="1"/>
    <col min="10761" max="10761" width="14.42578125" customWidth="1"/>
    <col min="10763" max="10763" width="20.5703125" bestFit="1" customWidth="1"/>
    <col min="10764" max="10764" width="17.7109375" customWidth="1"/>
    <col min="10765" max="10765" width="10.42578125" customWidth="1"/>
    <col min="10766" max="10766" width="8.42578125" customWidth="1"/>
    <col min="10767" max="10767" width="6.42578125" customWidth="1"/>
    <col min="10768" max="10768" width="22.5703125" customWidth="1"/>
    <col min="11008" max="11008" width="19.5703125" customWidth="1"/>
    <col min="11009" max="11009" width="52.7109375" customWidth="1"/>
    <col min="11014" max="11014" width="11.140625" customWidth="1"/>
    <col min="11015" max="11015" width="14.7109375" customWidth="1"/>
    <col min="11016" max="11016" width="21.140625" customWidth="1"/>
    <col min="11017" max="11017" width="14.42578125" customWidth="1"/>
    <col min="11019" max="11019" width="20.5703125" bestFit="1" customWidth="1"/>
    <col min="11020" max="11020" width="17.7109375" customWidth="1"/>
    <col min="11021" max="11021" width="10.42578125" customWidth="1"/>
    <col min="11022" max="11022" width="8.42578125" customWidth="1"/>
    <col min="11023" max="11023" width="6.42578125" customWidth="1"/>
    <col min="11024" max="11024" width="22.5703125" customWidth="1"/>
    <col min="11264" max="11264" width="19.5703125" customWidth="1"/>
    <col min="11265" max="11265" width="52.7109375" customWidth="1"/>
    <col min="11270" max="11270" width="11.140625" customWidth="1"/>
    <col min="11271" max="11271" width="14.7109375" customWidth="1"/>
    <col min="11272" max="11272" width="21.140625" customWidth="1"/>
    <col min="11273" max="11273" width="14.42578125" customWidth="1"/>
    <col min="11275" max="11275" width="20.5703125" bestFit="1" customWidth="1"/>
    <col min="11276" max="11276" width="17.7109375" customWidth="1"/>
    <col min="11277" max="11277" width="10.42578125" customWidth="1"/>
    <col min="11278" max="11278" width="8.42578125" customWidth="1"/>
    <col min="11279" max="11279" width="6.42578125" customWidth="1"/>
    <col min="11280" max="11280" width="22.5703125" customWidth="1"/>
    <col min="11520" max="11520" width="19.5703125" customWidth="1"/>
    <col min="11521" max="11521" width="52.7109375" customWidth="1"/>
    <col min="11526" max="11526" width="11.140625" customWidth="1"/>
    <col min="11527" max="11527" width="14.7109375" customWidth="1"/>
    <col min="11528" max="11528" width="21.140625" customWidth="1"/>
    <col min="11529" max="11529" width="14.42578125" customWidth="1"/>
    <col min="11531" max="11531" width="20.5703125" bestFit="1" customWidth="1"/>
    <col min="11532" max="11532" width="17.7109375" customWidth="1"/>
    <col min="11533" max="11533" width="10.42578125" customWidth="1"/>
    <col min="11534" max="11534" width="8.42578125" customWidth="1"/>
    <col min="11535" max="11535" width="6.42578125" customWidth="1"/>
    <col min="11536" max="11536" width="22.5703125" customWidth="1"/>
    <col min="11776" max="11776" width="19.5703125" customWidth="1"/>
    <col min="11777" max="11777" width="52.7109375" customWidth="1"/>
    <col min="11782" max="11782" width="11.140625" customWidth="1"/>
    <col min="11783" max="11783" width="14.7109375" customWidth="1"/>
    <col min="11784" max="11784" width="21.140625" customWidth="1"/>
    <col min="11785" max="11785" width="14.42578125" customWidth="1"/>
    <col min="11787" max="11787" width="20.5703125" bestFit="1" customWidth="1"/>
    <col min="11788" max="11788" width="17.7109375" customWidth="1"/>
    <col min="11789" max="11789" width="10.42578125" customWidth="1"/>
    <col min="11790" max="11790" width="8.42578125" customWidth="1"/>
    <col min="11791" max="11791" width="6.42578125" customWidth="1"/>
    <col min="11792" max="11792" width="22.5703125" customWidth="1"/>
    <col min="12032" max="12032" width="19.5703125" customWidth="1"/>
    <col min="12033" max="12033" width="52.7109375" customWidth="1"/>
    <col min="12038" max="12038" width="11.140625" customWidth="1"/>
    <col min="12039" max="12039" width="14.7109375" customWidth="1"/>
    <col min="12040" max="12040" width="21.140625" customWidth="1"/>
    <col min="12041" max="12041" width="14.42578125" customWidth="1"/>
    <col min="12043" max="12043" width="20.5703125" bestFit="1" customWidth="1"/>
    <col min="12044" max="12044" width="17.7109375" customWidth="1"/>
    <col min="12045" max="12045" width="10.42578125" customWidth="1"/>
    <col min="12046" max="12046" width="8.42578125" customWidth="1"/>
    <col min="12047" max="12047" width="6.42578125" customWidth="1"/>
    <col min="12048" max="12048" width="22.5703125" customWidth="1"/>
    <col min="12288" max="12288" width="19.5703125" customWidth="1"/>
    <col min="12289" max="12289" width="52.7109375" customWidth="1"/>
    <col min="12294" max="12294" width="11.140625" customWidth="1"/>
    <col min="12295" max="12295" width="14.7109375" customWidth="1"/>
    <col min="12296" max="12296" width="21.140625" customWidth="1"/>
    <col min="12297" max="12297" width="14.42578125" customWidth="1"/>
    <col min="12299" max="12299" width="20.5703125" bestFit="1" customWidth="1"/>
    <col min="12300" max="12300" width="17.7109375" customWidth="1"/>
    <col min="12301" max="12301" width="10.42578125" customWidth="1"/>
    <col min="12302" max="12302" width="8.42578125" customWidth="1"/>
    <col min="12303" max="12303" width="6.42578125" customWidth="1"/>
    <col min="12304" max="12304" width="22.5703125" customWidth="1"/>
    <col min="12544" max="12544" width="19.5703125" customWidth="1"/>
    <col min="12545" max="12545" width="52.7109375" customWidth="1"/>
    <col min="12550" max="12550" width="11.140625" customWidth="1"/>
    <col min="12551" max="12551" width="14.7109375" customWidth="1"/>
    <col min="12552" max="12552" width="21.140625" customWidth="1"/>
    <col min="12553" max="12553" width="14.42578125" customWidth="1"/>
    <col min="12555" max="12555" width="20.5703125" bestFit="1" customWidth="1"/>
    <col min="12556" max="12556" width="17.7109375" customWidth="1"/>
    <col min="12557" max="12557" width="10.42578125" customWidth="1"/>
    <col min="12558" max="12558" width="8.42578125" customWidth="1"/>
    <col min="12559" max="12559" width="6.42578125" customWidth="1"/>
    <col min="12560" max="12560" width="22.5703125" customWidth="1"/>
    <col min="12800" max="12800" width="19.5703125" customWidth="1"/>
    <col min="12801" max="12801" width="52.7109375" customWidth="1"/>
    <col min="12806" max="12806" width="11.140625" customWidth="1"/>
    <col min="12807" max="12807" width="14.7109375" customWidth="1"/>
    <col min="12808" max="12808" width="21.140625" customWidth="1"/>
    <col min="12809" max="12809" width="14.42578125" customWidth="1"/>
    <col min="12811" max="12811" width="20.5703125" bestFit="1" customWidth="1"/>
    <col min="12812" max="12812" width="17.7109375" customWidth="1"/>
    <col min="12813" max="12813" width="10.42578125" customWidth="1"/>
    <col min="12814" max="12814" width="8.42578125" customWidth="1"/>
    <col min="12815" max="12815" width="6.42578125" customWidth="1"/>
    <col min="12816" max="12816" width="22.5703125" customWidth="1"/>
    <col min="13056" max="13056" width="19.5703125" customWidth="1"/>
    <col min="13057" max="13057" width="52.7109375" customWidth="1"/>
    <col min="13062" max="13062" width="11.140625" customWidth="1"/>
    <col min="13063" max="13063" width="14.7109375" customWidth="1"/>
    <col min="13064" max="13064" width="21.140625" customWidth="1"/>
    <col min="13065" max="13065" width="14.42578125" customWidth="1"/>
    <col min="13067" max="13067" width="20.5703125" bestFit="1" customWidth="1"/>
    <col min="13068" max="13068" width="17.7109375" customWidth="1"/>
    <col min="13069" max="13069" width="10.42578125" customWidth="1"/>
    <col min="13070" max="13070" width="8.42578125" customWidth="1"/>
    <col min="13071" max="13071" width="6.42578125" customWidth="1"/>
    <col min="13072" max="13072" width="22.5703125" customWidth="1"/>
    <col min="13312" max="13312" width="19.5703125" customWidth="1"/>
    <col min="13313" max="13313" width="52.7109375" customWidth="1"/>
    <col min="13318" max="13318" width="11.140625" customWidth="1"/>
    <col min="13319" max="13319" width="14.7109375" customWidth="1"/>
    <col min="13320" max="13320" width="21.140625" customWidth="1"/>
    <col min="13321" max="13321" width="14.42578125" customWidth="1"/>
    <col min="13323" max="13323" width="20.5703125" bestFit="1" customWidth="1"/>
    <col min="13324" max="13324" width="17.7109375" customWidth="1"/>
    <col min="13325" max="13325" width="10.42578125" customWidth="1"/>
    <col min="13326" max="13326" width="8.42578125" customWidth="1"/>
    <col min="13327" max="13327" width="6.42578125" customWidth="1"/>
    <col min="13328" max="13328" width="22.5703125" customWidth="1"/>
    <col min="13568" max="13568" width="19.5703125" customWidth="1"/>
    <col min="13569" max="13569" width="52.7109375" customWidth="1"/>
    <col min="13574" max="13574" width="11.140625" customWidth="1"/>
    <col min="13575" max="13575" width="14.7109375" customWidth="1"/>
    <col min="13576" max="13576" width="21.140625" customWidth="1"/>
    <col min="13577" max="13577" width="14.42578125" customWidth="1"/>
    <col min="13579" max="13579" width="20.5703125" bestFit="1" customWidth="1"/>
    <col min="13580" max="13580" width="17.7109375" customWidth="1"/>
    <col min="13581" max="13581" width="10.42578125" customWidth="1"/>
    <col min="13582" max="13582" width="8.42578125" customWidth="1"/>
    <col min="13583" max="13583" width="6.42578125" customWidth="1"/>
    <col min="13584" max="13584" width="22.5703125" customWidth="1"/>
    <col min="13824" max="13824" width="19.5703125" customWidth="1"/>
    <col min="13825" max="13825" width="52.7109375" customWidth="1"/>
    <col min="13830" max="13830" width="11.140625" customWidth="1"/>
    <col min="13831" max="13831" width="14.7109375" customWidth="1"/>
    <col min="13832" max="13832" width="21.140625" customWidth="1"/>
    <col min="13833" max="13833" width="14.42578125" customWidth="1"/>
    <col min="13835" max="13835" width="20.5703125" bestFit="1" customWidth="1"/>
    <col min="13836" max="13836" width="17.7109375" customWidth="1"/>
    <col min="13837" max="13837" width="10.42578125" customWidth="1"/>
    <col min="13838" max="13838" width="8.42578125" customWidth="1"/>
    <col min="13839" max="13839" width="6.42578125" customWidth="1"/>
    <col min="13840" max="13840" width="22.5703125" customWidth="1"/>
    <col min="14080" max="14080" width="19.5703125" customWidth="1"/>
    <col min="14081" max="14081" width="52.7109375" customWidth="1"/>
    <col min="14086" max="14086" width="11.140625" customWidth="1"/>
    <col min="14087" max="14087" width="14.7109375" customWidth="1"/>
    <col min="14088" max="14088" width="21.140625" customWidth="1"/>
    <col min="14089" max="14089" width="14.42578125" customWidth="1"/>
    <col min="14091" max="14091" width="20.5703125" bestFit="1" customWidth="1"/>
    <col min="14092" max="14092" width="17.7109375" customWidth="1"/>
    <col min="14093" max="14093" width="10.42578125" customWidth="1"/>
    <col min="14094" max="14094" width="8.42578125" customWidth="1"/>
    <col min="14095" max="14095" width="6.42578125" customWidth="1"/>
    <col min="14096" max="14096" width="22.5703125" customWidth="1"/>
    <col min="14336" max="14336" width="19.5703125" customWidth="1"/>
    <col min="14337" max="14337" width="52.7109375" customWidth="1"/>
    <col min="14342" max="14342" width="11.140625" customWidth="1"/>
    <col min="14343" max="14343" width="14.7109375" customWidth="1"/>
    <col min="14344" max="14344" width="21.140625" customWidth="1"/>
    <col min="14345" max="14345" width="14.42578125" customWidth="1"/>
    <col min="14347" max="14347" width="20.5703125" bestFit="1" customWidth="1"/>
    <col min="14348" max="14348" width="17.7109375" customWidth="1"/>
    <col min="14349" max="14349" width="10.42578125" customWidth="1"/>
    <col min="14350" max="14350" width="8.42578125" customWidth="1"/>
    <col min="14351" max="14351" width="6.42578125" customWidth="1"/>
    <col min="14352" max="14352" width="22.5703125" customWidth="1"/>
    <col min="14592" max="14592" width="19.5703125" customWidth="1"/>
    <col min="14593" max="14593" width="52.7109375" customWidth="1"/>
    <col min="14598" max="14598" width="11.140625" customWidth="1"/>
    <col min="14599" max="14599" width="14.7109375" customWidth="1"/>
    <col min="14600" max="14600" width="21.140625" customWidth="1"/>
    <col min="14601" max="14601" width="14.42578125" customWidth="1"/>
    <col min="14603" max="14603" width="20.5703125" bestFit="1" customWidth="1"/>
    <col min="14604" max="14604" width="17.7109375" customWidth="1"/>
    <col min="14605" max="14605" width="10.42578125" customWidth="1"/>
    <col min="14606" max="14606" width="8.42578125" customWidth="1"/>
    <col min="14607" max="14607" width="6.42578125" customWidth="1"/>
    <col min="14608" max="14608" width="22.5703125" customWidth="1"/>
    <col min="14848" max="14848" width="19.5703125" customWidth="1"/>
    <col min="14849" max="14849" width="52.7109375" customWidth="1"/>
    <col min="14854" max="14854" width="11.140625" customWidth="1"/>
    <col min="14855" max="14855" width="14.7109375" customWidth="1"/>
    <col min="14856" max="14856" width="21.140625" customWidth="1"/>
    <col min="14857" max="14857" width="14.42578125" customWidth="1"/>
    <col min="14859" max="14859" width="20.5703125" bestFit="1" customWidth="1"/>
    <col min="14860" max="14860" width="17.7109375" customWidth="1"/>
    <col min="14861" max="14861" width="10.42578125" customWidth="1"/>
    <col min="14862" max="14862" width="8.42578125" customWidth="1"/>
    <col min="14863" max="14863" width="6.42578125" customWidth="1"/>
    <col min="14864" max="14864" width="22.5703125" customWidth="1"/>
    <col min="15104" max="15104" width="19.5703125" customWidth="1"/>
    <col min="15105" max="15105" width="52.7109375" customWidth="1"/>
    <col min="15110" max="15110" width="11.140625" customWidth="1"/>
    <col min="15111" max="15111" width="14.7109375" customWidth="1"/>
    <col min="15112" max="15112" width="21.140625" customWidth="1"/>
    <col min="15113" max="15113" width="14.42578125" customWidth="1"/>
    <col min="15115" max="15115" width="20.5703125" bestFit="1" customWidth="1"/>
    <col min="15116" max="15116" width="17.7109375" customWidth="1"/>
    <col min="15117" max="15117" width="10.42578125" customWidth="1"/>
    <col min="15118" max="15118" width="8.42578125" customWidth="1"/>
    <col min="15119" max="15119" width="6.42578125" customWidth="1"/>
    <col min="15120" max="15120" width="22.5703125" customWidth="1"/>
    <col min="15360" max="15360" width="19.5703125" customWidth="1"/>
    <col min="15361" max="15361" width="52.7109375" customWidth="1"/>
    <col min="15366" max="15366" width="11.140625" customWidth="1"/>
    <col min="15367" max="15367" width="14.7109375" customWidth="1"/>
    <col min="15368" max="15368" width="21.140625" customWidth="1"/>
    <col min="15369" max="15369" width="14.42578125" customWidth="1"/>
    <col min="15371" max="15371" width="20.5703125" bestFit="1" customWidth="1"/>
    <col min="15372" max="15372" width="17.7109375" customWidth="1"/>
    <col min="15373" max="15373" width="10.42578125" customWidth="1"/>
    <col min="15374" max="15374" width="8.42578125" customWidth="1"/>
    <col min="15375" max="15375" width="6.42578125" customWidth="1"/>
    <col min="15376" max="15376" width="22.5703125" customWidth="1"/>
    <col min="15616" max="15616" width="19.5703125" customWidth="1"/>
    <col min="15617" max="15617" width="52.7109375" customWidth="1"/>
    <col min="15622" max="15622" width="11.140625" customWidth="1"/>
    <col min="15623" max="15623" width="14.7109375" customWidth="1"/>
    <col min="15624" max="15624" width="21.140625" customWidth="1"/>
    <col min="15625" max="15625" width="14.42578125" customWidth="1"/>
    <col min="15627" max="15627" width="20.5703125" bestFit="1" customWidth="1"/>
    <col min="15628" max="15628" width="17.7109375" customWidth="1"/>
    <col min="15629" max="15629" width="10.42578125" customWidth="1"/>
    <col min="15630" max="15630" width="8.42578125" customWidth="1"/>
    <col min="15631" max="15631" width="6.42578125" customWidth="1"/>
    <col min="15632" max="15632" width="22.5703125" customWidth="1"/>
    <col min="15872" max="15872" width="19.5703125" customWidth="1"/>
    <col min="15873" max="15873" width="52.7109375" customWidth="1"/>
    <col min="15878" max="15878" width="11.140625" customWidth="1"/>
    <col min="15879" max="15879" width="14.7109375" customWidth="1"/>
    <col min="15880" max="15880" width="21.140625" customWidth="1"/>
    <col min="15881" max="15881" width="14.42578125" customWidth="1"/>
    <col min="15883" max="15883" width="20.5703125" bestFit="1" customWidth="1"/>
    <col min="15884" max="15884" width="17.7109375" customWidth="1"/>
    <col min="15885" max="15885" width="10.42578125" customWidth="1"/>
    <col min="15886" max="15886" width="8.42578125" customWidth="1"/>
    <col min="15887" max="15887" width="6.42578125" customWidth="1"/>
    <col min="15888" max="15888" width="22.5703125" customWidth="1"/>
    <col min="16128" max="16128" width="19.5703125" customWidth="1"/>
    <col min="16129" max="16129" width="52.7109375" customWidth="1"/>
    <col min="16134" max="16134" width="11.140625" customWidth="1"/>
    <col min="16135" max="16135" width="14.7109375" customWidth="1"/>
    <col min="16136" max="16136" width="21.140625" customWidth="1"/>
    <col min="16137" max="16137" width="14.42578125" customWidth="1"/>
    <col min="16139" max="16139" width="20.5703125" bestFit="1" customWidth="1"/>
    <col min="16140" max="16140" width="17.7109375" customWidth="1"/>
    <col min="16141" max="16141" width="10.42578125" customWidth="1"/>
    <col min="16142" max="16142" width="8.42578125" customWidth="1"/>
    <col min="16143" max="16143" width="6.42578125" customWidth="1"/>
    <col min="16144" max="16144" width="22.5703125" customWidth="1"/>
  </cols>
  <sheetData>
    <row r="1" spans="1:18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83" t="s">
        <v>29</v>
      </c>
      <c r="H1" s="83" t="s">
        <v>478</v>
      </c>
      <c r="I1" s="52" t="s">
        <v>388</v>
      </c>
      <c r="J1" s="83" t="s">
        <v>44</v>
      </c>
      <c r="K1" s="83" t="s">
        <v>45</v>
      </c>
      <c r="L1" s="83" t="s">
        <v>46</v>
      </c>
      <c r="M1" s="52" t="s">
        <v>386</v>
      </c>
      <c r="N1" s="83" t="s">
        <v>47</v>
      </c>
      <c r="O1" s="83" t="s">
        <v>48</v>
      </c>
      <c r="P1" s="83" t="s">
        <v>49</v>
      </c>
      <c r="Q1" s="131" t="s">
        <v>479</v>
      </c>
      <c r="R1" s="131" t="s">
        <v>50</v>
      </c>
    </row>
    <row r="2" spans="1:18" ht="18" customHeight="1" x14ac:dyDescent="0.25">
      <c r="A2" s="167" t="s">
        <v>157</v>
      </c>
      <c r="B2" s="86" t="s">
        <v>158</v>
      </c>
      <c r="C2" s="87" t="s">
        <v>83</v>
      </c>
      <c r="D2" s="134" t="str" cm="1">
        <f t="array" aca="1" ref="D2" ca="1">_xlfn.LET(_xlpm.filepath,CELL("filename",D2),MID(_xlpm.filepath,FIND("]",_xlpm.filepath)+1,3))</f>
        <v>008</v>
      </c>
      <c r="E2" s="135" t="s">
        <v>84</v>
      </c>
      <c r="F2" s="89" t="str">
        <f>"S"&amp;E2&amp;"+"</f>
        <v>S1+</v>
      </c>
      <c r="G2" s="94" t="s">
        <v>85</v>
      </c>
      <c r="H2" s="94" t="s">
        <v>86</v>
      </c>
      <c r="I2" s="66" t="str">
        <f>E2&amp;"a"</f>
        <v>1a</v>
      </c>
      <c r="J2" s="216" t="s">
        <v>75</v>
      </c>
      <c r="K2" s="216" t="s">
        <v>159</v>
      </c>
      <c r="L2" s="66" t="s">
        <v>450</v>
      </c>
      <c r="M2" s="66" t="s">
        <v>440</v>
      </c>
      <c r="N2" s="217" t="str">
        <f ca="1">D2&amp;"/"&amp;F2</f>
        <v>008/S1+</v>
      </c>
      <c r="O2" s="66" t="s">
        <v>504</v>
      </c>
      <c r="P2" s="66">
        <v>3</v>
      </c>
      <c r="Q2" s="90" t="s">
        <v>390</v>
      </c>
      <c r="R2" s="69">
        <v>0</v>
      </c>
    </row>
    <row r="3" spans="1:18" ht="18" customHeight="1" x14ac:dyDescent="0.25">
      <c r="A3" s="168"/>
      <c r="B3" s="138"/>
      <c r="C3" s="139"/>
      <c r="D3" s="140"/>
      <c r="E3" s="141"/>
      <c r="F3" s="117" t="str">
        <f>"DI"&amp;E2&amp;"+"</f>
        <v>DI1+</v>
      </c>
      <c r="G3" s="139"/>
      <c r="H3" s="139"/>
      <c r="I3" s="55" t="str">
        <f>E2&amp;"b"</f>
        <v>1b</v>
      </c>
      <c r="J3" s="139"/>
      <c r="K3" s="139"/>
      <c r="L3" s="55" t="s">
        <v>378</v>
      </c>
      <c r="M3" s="55" t="s">
        <v>440</v>
      </c>
      <c r="N3" s="117" t="str">
        <f ca="1">D2&amp;"/"&amp;F3</f>
        <v>008/DI1+</v>
      </c>
      <c r="O3" s="55" t="s">
        <v>504</v>
      </c>
      <c r="P3" s="55">
        <v>4</v>
      </c>
      <c r="Q3" s="142"/>
      <c r="R3" s="57"/>
    </row>
    <row r="4" spans="1:18" ht="18" customHeight="1" x14ac:dyDescent="0.25">
      <c r="A4" s="169" t="s">
        <v>160</v>
      </c>
      <c r="B4" s="101" t="s">
        <v>161</v>
      </c>
      <c r="C4" s="102" t="s">
        <v>83</v>
      </c>
      <c r="D4" s="143" t="str" cm="1">
        <f t="array" aca="1" ref="D4" ca="1">_xlfn.LET(_xlpm.filepath,CELL("filename",D4),MID(_xlpm.filepath,FIND("]",_xlpm.filepath)+1,3))</f>
        <v>008</v>
      </c>
      <c r="E4" s="144" t="s">
        <v>90</v>
      </c>
      <c r="F4" s="104" t="str">
        <f>"S"&amp;E4&amp;"+"</f>
        <v>S2+</v>
      </c>
      <c r="G4" s="102" t="str">
        <f>G2</f>
        <v>X-DI 32 05</v>
      </c>
      <c r="H4" s="102" t="str">
        <f>H2</f>
        <v>X-CB 005 01</v>
      </c>
      <c r="I4" s="58" t="str">
        <f>E4&amp;"a"</f>
        <v>2a</v>
      </c>
      <c r="J4" s="102" t="s">
        <v>75</v>
      </c>
      <c r="K4" s="102" t="s">
        <v>159</v>
      </c>
      <c r="L4" s="58" t="s">
        <v>450</v>
      </c>
      <c r="M4" s="58" t="s">
        <v>440</v>
      </c>
      <c r="N4" s="104" t="str">
        <f ca="1">D4&amp;"/"&amp;F4</f>
        <v>008/S2+</v>
      </c>
      <c r="O4" s="220" t="s">
        <v>504</v>
      </c>
      <c r="P4" s="58">
        <v>5</v>
      </c>
      <c r="Q4" s="103" t="s">
        <v>390</v>
      </c>
      <c r="R4" s="105" t="s">
        <v>91</v>
      </c>
    </row>
    <row r="5" spans="1:18" ht="18" customHeight="1" x14ac:dyDescent="0.25">
      <c r="A5" s="170"/>
      <c r="B5" s="126"/>
      <c r="C5" s="127"/>
      <c r="D5" s="145"/>
      <c r="E5" s="146"/>
      <c r="F5" s="147" t="str">
        <f>"DI"&amp;E4&amp;"+"</f>
        <v>DI2+</v>
      </c>
      <c r="G5" s="127"/>
      <c r="H5" s="127"/>
      <c r="I5" s="59" t="str">
        <f>E4&amp;"b"</f>
        <v>2b</v>
      </c>
      <c r="J5" s="129"/>
      <c r="K5" s="127"/>
      <c r="L5" s="59" t="s">
        <v>378</v>
      </c>
      <c r="M5" s="59" t="s">
        <v>440</v>
      </c>
      <c r="N5" s="147" t="str">
        <f ca="1">D4&amp;"/"&amp;F5</f>
        <v>008/DI2+</v>
      </c>
      <c r="O5" s="221" t="s">
        <v>504</v>
      </c>
      <c r="P5" s="59">
        <v>6</v>
      </c>
      <c r="Q5" s="128"/>
      <c r="R5" s="130"/>
    </row>
    <row r="6" spans="1:18" ht="18" customHeight="1" x14ac:dyDescent="0.25">
      <c r="A6" s="171" t="s">
        <v>605</v>
      </c>
      <c r="B6" s="120" t="s">
        <v>606</v>
      </c>
      <c r="C6" s="121" t="s">
        <v>83</v>
      </c>
      <c r="D6" s="148" t="str" cm="1">
        <f t="array" aca="1" ref="D6" ca="1">_xlfn.LET(_xlpm.filepath,CELL("filename",D6),MID(_xlpm.filepath,FIND("]",_xlpm.filepath)+1,3))</f>
        <v>008</v>
      </c>
      <c r="E6" s="149">
        <v>3</v>
      </c>
      <c r="F6" s="123" t="str">
        <f>"S"&amp;E6&amp;"+"</f>
        <v>S3+</v>
      </c>
      <c r="G6" s="121" t="str">
        <f>G4</f>
        <v>X-DI 32 05</v>
      </c>
      <c r="H6" s="121" t="str">
        <f>H2</f>
        <v>X-CB 005 01</v>
      </c>
      <c r="I6" s="53" t="str">
        <f>E6&amp;"a"</f>
        <v>3a</v>
      </c>
      <c r="J6" s="121" t="s">
        <v>56</v>
      </c>
      <c r="K6" s="121" t="s">
        <v>169</v>
      </c>
      <c r="L6" s="53" t="s">
        <v>450</v>
      </c>
      <c r="M6" s="53" t="s">
        <v>440</v>
      </c>
      <c r="N6" s="123" t="str">
        <f ca="1">D6&amp;"/"&amp;F6</f>
        <v>008/S3+</v>
      </c>
      <c r="O6" s="223" t="s">
        <v>506</v>
      </c>
      <c r="P6" s="53">
        <v>3</v>
      </c>
      <c r="Q6" s="326" t="s">
        <v>390</v>
      </c>
      <c r="R6" s="150">
        <v>0</v>
      </c>
    </row>
    <row r="7" spans="1:18" ht="18" customHeight="1" x14ac:dyDescent="0.25">
      <c r="A7" s="168"/>
      <c r="B7" s="138"/>
      <c r="C7" s="139"/>
      <c r="D7" s="140"/>
      <c r="E7" s="141"/>
      <c r="F7" s="117" t="str">
        <f>"DI"&amp;E6&amp;"+"</f>
        <v>DI3+</v>
      </c>
      <c r="G7" s="139"/>
      <c r="H7" s="139"/>
      <c r="I7" s="55" t="str">
        <f>E6&amp;"b"</f>
        <v>3b</v>
      </c>
      <c r="J7" s="139"/>
      <c r="K7" s="139"/>
      <c r="L7" s="55" t="s">
        <v>378</v>
      </c>
      <c r="M7" s="55" t="s">
        <v>440</v>
      </c>
      <c r="N7" s="117" t="str">
        <f ca="1">D6&amp;"/"&amp;F7</f>
        <v>008/DI3+</v>
      </c>
      <c r="O7" s="226" t="s">
        <v>506</v>
      </c>
      <c r="P7" s="55">
        <v>4</v>
      </c>
      <c r="Q7" s="142"/>
      <c r="R7" s="151"/>
    </row>
    <row r="8" spans="1:18" ht="18" customHeight="1" x14ac:dyDescent="0.25">
      <c r="A8" s="169" t="s">
        <v>170</v>
      </c>
      <c r="B8" s="101" t="s">
        <v>507</v>
      </c>
      <c r="C8" s="102" t="s">
        <v>83</v>
      </c>
      <c r="D8" s="143" t="str" cm="1">
        <f t="array" aca="1" ref="D8" ca="1">_xlfn.LET(_xlpm.filepath,CELL("filename",D8),MID(_xlpm.filepath,FIND("]",_xlpm.filepath)+1,3))</f>
        <v>008</v>
      </c>
      <c r="E8" s="144" t="s">
        <v>96</v>
      </c>
      <c r="F8" s="104" t="str">
        <f t="shared" ref="F8" si="0">"S"&amp;E8&amp;"+"</f>
        <v>S4+</v>
      </c>
      <c r="G8" s="102" t="str">
        <f>G6</f>
        <v>X-DI 32 05</v>
      </c>
      <c r="H8" s="102" t="str">
        <f>H6</f>
        <v>X-CB 005 01</v>
      </c>
      <c r="I8" s="58" t="str">
        <f t="shared" ref="I8" si="1">E8&amp;"a"</f>
        <v>4a</v>
      </c>
      <c r="J8" s="102" t="s">
        <v>75</v>
      </c>
      <c r="K8" s="102" t="s">
        <v>171</v>
      </c>
      <c r="L8" s="58" t="s">
        <v>450</v>
      </c>
      <c r="M8" s="58" t="s">
        <v>440</v>
      </c>
      <c r="N8" s="104" t="str">
        <f ca="1">D8&amp;"/"&amp;F8</f>
        <v>008/S4+</v>
      </c>
      <c r="O8" s="58" t="s">
        <v>508</v>
      </c>
      <c r="P8" s="58">
        <v>3</v>
      </c>
      <c r="Q8" s="103" t="s">
        <v>390</v>
      </c>
      <c r="R8" s="105" t="s">
        <v>91</v>
      </c>
    </row>
    <row r="9" spans="1:18" ht="18" customHeight="1" x14ac:dyDescent="0.25">
      <c r="A9" s="170"/>
      <c r="B9" s="126"/>
      <c r="C9" s="127"/>
      <c r="D9" s="145"/>
      <c r="E9" s="146"/>
      <c r="F9" s="147" t="str">
        <f t="shared" ref="F9" si="2">"DI"&amp;E8&amp;"+"</f>
        <v>DI4+</v>
      </c>
      <c r="G9" s="127"/>
      <c r="H9" s="127"/>
      <c r="I9" s="59" t="str">
        <f t="shared" ref="I9" si="3">E8&amp;"b"</f>
        <v>4b</v>
      </c>
      <c r="J9" s="129"/>
      <c r="K9" s="127"/>
      <c r="L9" s="59" t="s">
        <v>378</v>
      </c>
      <c r="M9" s="59" t="s">
        <v>440</v>
      </c>
      <c r="N9" s="147" t="str">
        <f ca="1">D8&amp;"/"&amp;F9</f>
        <v>008/DI4+</v>
      </c>
      <c r="O9" s="59" t="s">
        <v>508</v>
      </c>
      <c r="P9" s="59">
        <v>4</v>
      </c>
      <c r="Q9" s="128"/>
      <c r="R9" s="130"/>
    </row>
    <row r="10" spans="1:18" ht="18" customHeight="1" x14ac:dyDescent="0.25">
      <c r="A10" s="171" t="s">
        <v>176</v>
      </c>
      <c r="B10" s="120" t="s">
        <v>172</v>
      </c>
      <c r="C10" s="121" t="s">
        <v>83</v>
      </c>
      <c r="D10" s="148" t="str" cm="1">
        <f t="array" aca="1" ref="D10" ca="1">_xlfn.LET(_xlpm.filepath,CELL("filename",D10),MID(_xlpm.filepath,FIND("]",_xlpm.filepath)+1,3))</f>
        <v>008</v>
      </c>
      <c r="E10" s="149">
        <v>5</v>
      </c>
      <c r="F10" s="123" t="str">
        <f t="shared" ref="F10" si="4">"S"&amp;E10&amp;"+"</f>
        <v>S5+</v>
      </c>
      <c r="G10" s="121" t="str">
        <f>G8</f>
        <v>X-DI 32 05</v>
      </c>
      <c r="H10" s="121" t="str">
        <f>H6</f>
        <v>X-CB 005 01</v>
      </c>
      <c r="I10" s="53" t="str">
        <f t="shared" ref="I10" si="5">E10&amp;"a"</f>
        <v>5a</v>
      </c>
      <c r="J10" s="121" t="s">
        <v>75</v>
      </c>
      <c r="K10" s="121" t="s">
        <v>171</v>
      </c>
      <c r="L10" s="53" t="s">
        <v>450</v>
      </c>
      <c r="M10" s="53" t="s">
        <v>440</v>
      </c>
      <c r="N10" s="123" t="str">
        <f ca="1">D10&amp;"/"&amp;F10</f>
        <v>008/S5+</v>
      </c>
      <c r="O10" s="53" t="s">
        <v>508</v>
      </c>
      <c r="P10" s="53">
        <v>5</v>
      </c>
      <c r="Q10" s="124" t="s">
        <v>390</v>
      </c>
      <c r="R10" s="150">
        <v>0</v>
      </c>
    </row>
    <row r="11" spans="1:18" ht="18" customHeight="1" x14ac:dyDescent="0.25">
      <c r="A11" s="168"/>
      <c r="B11" s="138"/>
      <c r="C11" s="139"/>
      <c r="D11" s="140"/>
      <c r="E11" s="141"/>
      <c r="F11" s="117" t="str">
        <f t="shared" ref="F11" si="6">"DI"&amp;E10&amp;"+"</f>
        <v>DI5+</v>
      </c>
      <c r="G11" s="139"/>
      <c r="H11" s="139"/>
      <c r="I11" s="55" t="str">
        <f t="shared" ref="I11" si="7">E10&amp;"b"</f>
        <v>5b</v>
      </c>
      <c r="J11" s="139"/>
      <c r="K11" s="139"/>
      <c r="L11" s="55" t="s">
        <v>378</v>
      </c>
      <c r="M11" s="55" t="s">
        <v>440</v>
      </c>
      <c r="N11" s="117" t="str">
        <f ca="1">D10&amp;"/"&amp;F11</f>
        <v>008/DI5+</v>
      </c>
      <c r="O11" s="55" t="s">
        <v>508</v>
      </c>
      <c r="P11" s="55">
        <v>6</v>
      </c>
      <c r="Q11" s="142"/>
      <c r="R11" s="151"/>
    </row>
    <row r="12" spans="1:18" ht="18" customHeight="1" x14ac:dyDescent="0.25">
      <c r="A12" s="169" t="s">
        <v>607</v>
      </c>
      <c r="B12" s="101" t="s">
        <v>606</v>
      </c>
      <c r="C12" s="102" t="s">
        <v>83</v>
      </c>
      <c r="D12" s="143" t="str" cm="1">
        <f t="array" aca="1" ref="D12" ca="1">_xlfn.LET(_xlpm.filepath,CELL("filename",D12),MID(_xlpm.filepath,FIND("]",_xlpm.filepath)+1,3))</f>
        <v>008</v>
      </c>
      <c r="E12" s="144" t="s">
        <v>101</v>
      </c>
      <c r="F12" s="104" t="str">
        <f t="shared" ref="F12" si="8">"S"&amp;E12&amp;"+"</f>
        <v>S6+</v>
      </c>
      <c r="G12" s="102" t="str">
        <f>G10</f>
        <v>X-DI 32 05</v>
      </c>
      <c r="H12" s="102" t="str">
        <f>H10</f>
        <v>X-CB 005 01</v>
      </c>
      <c r="I12" s="58" t="str">
        <f t="shared" ref="I12" si="9">E12&amp;"a"</f>
        <v>6a</v>
      </c>
      <c r="J12" s="102" t="s">
        <v>75</v>
      </c>
      <c r="K12" s="102" t="s">
        <v>510</v>
      </c>
      <c r="L12" s="58" t="s">
        <v>450</v>
      </c>
      <c r="M12" s="58" t="s">
        <v>440</v>
      </c>
      <c r="N12" s="104" t="str">
        <f ca="1">D12&amp;"/"&amp;F12</f>
        <v>008/S6+</v>
      </c>
      <c r="O12" s="220" t="s">
        <v>511</v>
      </c>
      <c r="P12" s="220" t="s">
        <v>237</v>
      </c>
      <c r="Q12" s="315" t="s">
        <v>465</v>
      </c>
      <c r="R12" s="317" t="s">
        <v>674</v>
      </c>
    </row>
    <row r="13" spans="1:18" ht="18" customHeight="1" x14ac:dyDescent="0.25">
      <c r="A13" s="170"/>
      <c r="B13" s="126"/>
      <c r="C13" s="127"/>
      <c r="D13" s="145"/>
      <c r="E13" s="146"/>
      <c r="F13" s="147" t="str">
        <f t="shared" ref="F13" si="10">"DI"&amp;E12&amp;"+"</f>
        <v>DI6+</v>
      </c>
      <c r="G13" s="127"/>
      <c r="H13" s="127"/>
      <c r="I13" s="59" t="str">
        <f t="shared" ref="I13" si="11">E12&amp;"b"</f>
        <v>6b</v>
      </c>
      <c r="J13" s="129"/>
      <c r="K13" s="127"/>
      <c r="L13" s="59" t="s">
        <v>378</v>
      </c>
      <c r="M13" s="59" t="s">
        <v>440</v>
      </c>
      <c r="N13" s="147" t="str">
        <f ca="1">D12&amp;"/"&amp;F13</f>
        <v>008/DI6+</v>
      </c>
      <c r="O13" s="221" t="s">
        <v>511</v>
      </c>
      <c r="P13" s="221" t="s">
        <v>96</v>
      </c>
      <c r="Q13" s="128"/>
      <c r="R13" s="130"/>
    </row>
    <row r="14" spans="1:18" ht="18" customHeight="1" x14ac:dyDescent="0.25">
      <c r="A14" s="171" t="s">
        <v>179</v>
      </c>
      <c r="B14" s="120" t="s">
        <v>180</v>
      </c>
      <c r="C14" s="121" t="s">
        <v>83</v>
      </c>
      <c r="D14" s="148" t="str" cm="1">
        <f t="array" aca="1" ref="D14" ca="1">_xlfn.LET(_xlpm.filepath,CELL("filename",D14),MID(_xlpm.filepath,FIND("]",_xlpm.filepath)+1,3))</f>
        <v>008</v>
      </c>
      <c r="E14" s="149">
        <v>7</v>
      </c>
      <c r="F14" s="123" t="str">
        <f t="shared" ref="F14" si="12">"S"&amp;E14&amp;"+"</f>
        <v>S7+</v>
      </c>
      <c r="G14" s="121" t="str">
        <f>G12</f>
        <v>X-DI 32 05</v>
      </c>
      <c r="H14" s="121" t="str">
        <f>H10</f>
        <v>X-CB 005 01</v>
      </c>
      <c r="I14" s="53" t="str">
        <f t="shared" ref="I14" si="13">E14&amp;"a"</f>
        <v>7a</v>
      </c>
      <c r="J14" s="121" t="s">
        <v>75</v>
      </c>
      <c r="K14" s="121" t="s">
        <v>346</v>
      </c>
      <c r="L14" s="53" t="s">
        <v>450</v>
      </c>
      <c r="M14" s="53" t="s">
        <v>440</v>
      </c>
      <c r="N14" s="123" t="str">
        <f ca="1">D14&amp;"/"&amp;F14</f>
        <v>008/S7+</v>
      </c>
      <c r="O14" s="53" t="s">
        <v>512</v>
      </c>
      <c r="P14" s="53">
        <v>3</v>
      </c>
      <c r="Q14" s="124" t="s">
        <v>390</v>
      </c>
      <c r="R14" s="150">
        <v>0</v>
      </c>
    </row>
    <row r="15" spans="1:18" ht="18" customHeight="1" x14ac:dyDescent="0.25">
      <c r="A15" s="168"/>
      <c r="B15" s="138"/>
      <c r="C15" s="139"/>
      <c r="D15" s="140"/>
      <c r="E15" s="141"/>
      <c r="F15" s="117" t="str">
        <f t="shared" ref="F15" si="14">"DI"&amp;E14&amp;"+"</f>
        <v>DI7+</v>
      </c>
      <c r="G15" s="139"/>
      <c r="H15" s="139"/>
      <c r="I15" s="55" t="str">
        <f t="shared" ref="I15" si="15">E14&amp;"b"</f>
        <v>7b</v>
      </c>
      <c r="J15" s="139"/>
      <c r="K15" s="139"/>
      <c r="L15" s="55" t="s">
        <v>378</v>
      </c>
      <c r="M15" s="55" t="s">
        <v>440</v>
      </c>
      <c r="N15" s="117" t="str">
        <f ca="1">D14&amp;"/"&amp;F15</f>
        <v>008/DI7+</v>
      </c>
      <c r="O15" s="55" t="s">
        <v>512</v>
      </c>
      <c r="P15" s="55">
        <v>4</v>
      </c>
      <c r="Q15" s="142"/>
      <c r="R15" s="151"/>
    </row>
    <row r="16" spans="1:18" ht="18" customHeight="1" x14ac:dyDescent="0.25">
      <c r="A16" s="169" t="s">
        <v>181</v>
      </c>
      <c r="B16" s="101" t="s">
        <v>182</v>
      </c>
      <c r="C16" s="102" t="s">
        <v>83</v>
      </c>
      <c r="D16" s="143" t="str" cm="1">
        <f t="array" aca="1" ref="D16" ca="1">_xlfn.LET(_xlpm.filepath,CELL("filename",D16),MID(_xlpm.filepath,FIND("]",_xlpm.filepath)+1,3))</f>
        <v>008</v>
      </c>
      <c r="E16" s="144" t="s">
        <v>102</v>
      </c>
      <c r="F16" s="104" t="str">
        <f t="shared" ref="F16" si="16">"S"&amp;E16&amp;"+"</f>
        <v>S8+</v>
      </c>
      <c r="G16" s="102" t="str">
        <f>G14</f>
        <v>X-DI 32 05</v>
      </c>
      <c r="H16" s="102" t="str">
        <f>H14</f>
        <v>X-CB 005 01</v>
      </c>
      <c r="I16" s="58" t="str">
        <f t="shared" ref="I16" si="17">E16&amp;"a"</f>
        <v>8a</v>
      </c>
      <c r="J16" s="102" t="s">
        <v>75</v>
      </c>
      <c r="K16" s="102" t="s">
        <v>346</v>
      </c>
      <c r="L16" s="58" t="s">
        <v>450</v>
      </c>
      <c r="M16" s="58" t="s">
        <v>440</v>
      </c>
      <c r="N16" s="104" t="str">
        <f ca="1">D16&amp;"/"&amp;F16</f>
        <v>008/S8+</v>
      </c>
      <c r="O16" s="58" t="s">
        <v>512</v>
      </c>
      <c r="P16" s="58">
        <v>5</v>
      </c>
      <c r="Q16" s="103" t="s">
        <v>390</v>
      </c>
      <c r="R16" s="105" t="s">
        <v>91</v>
      </c>
    </row>
    <row r="17" spans="1:20" ht="18" customHeight="1" x14ac:dyDescent="0.25">
      <c r="A17" s="170"/>
      <c r="B17" s="126"/>
      <c r="C17" s="127"/>
      <c r="D17" s="145"/>
      <c r="E17" s="146"/>
      <c r="F17" s="147" t="str">
        <f t="shared" ref="F17" si="18">"DI"&amp;E16&amp;"+"</f>
        <v>DI8+</v>
      </c>
      <c r="G17" s="127"/>
      <c r="H17" s="127"/>
      <c r="I17" s="59" t="str">
        <f t="shared" ref="I17" si="19">E16&amp;"b"</f>
        <v>8b</v>
      </c>
      <c r="J17" s="129"/>
      <c r="K17" s="127"/>
      <c r="L17" s="59" t="s">
        <v>378</v>
      </c>
      <c r="M17" s="59" t="s">
        <v>440</v>
      </c>
      <c r="N17" s="147" t="str">
        <f ca="1">D16&amp;"/"&amp;F17</f>
        <v>008/DI8+</v>
      </c>
      <c r="O17" s="59" t="s">
        <v>512</v>
      </c>
      <c r="P17" s="59">
        <v>6</v>
      </c>
      <c r="Q17" s="128"/>
      <c r="R17" s="130"/>
    </row>
    <row r="18" spans="1:20" ht="18" customHeight="1" x14ac:dyDescent="0.25">
      <c r="A18" s="171" t="s">
        <v>608</v>
      </c>
      <c r="B18" s="120" t="s">
        <v>606</v>
      </c>
      <c r="C18" s="121" t="s">
        <v>83</v>
      </c>
      <c r="D18" s="148" t="str" cm="1">
        <f t="array" aca="1" ref="D18" ca="1">_xlfn.LET(_xlpm.filepath,CELL("filename",D18),MID(_xlpm.filepath,FIND("]",_xlpm.filepath)+1,3))</f>
        <v>008</v>
      </c>
      <c r="E18" s="149">
        <v>9</v>
      </c>
      <c r="F18" s="123" t="str">
        <f t="shared" ref="F18" si="20">"S"&amp;E18&amp;"+"</f>
        <v>S9+</v>
      </c>
      <c r="G18" s="121" t="str">
        <f>G16</f>
        <v>X-DI 32 05</v>
      </c>
      <c r="H18" s="121" t="str">
        <f>H14</f>
        <v>X-CB 005 01</v>
      </c>
      <c r="I18" s="53" t="str">
        <f t="shared" ref="I18" si="21">E18&amp;"a"</f>
        <v>9a</v>
      </c>
      <c r="J18" s="121" t="s">
        <v>56</v>
      </c>
      <c r="K18" s="121" t="s">
        <v>190</v>
      </c>
      <c r="L18" s="53" t="s">
        <v>450</v>
      </c>
      <c r="M18" s="53" t="s">
        <v>440</v>
      </c>
      <c r="N18" s="123" t="str">
        <f ca="1">D18&amp;"/"&amp;F18</f>
        <v>008/S9+</v>
      </c>
      <c r="O18" s="223" t="s">
        <v>514</v>
      </c>
      <c r="P18" s="53">
        <v>3</v>
      </c>
      <c r="Q18" s="326" t="s">
        <v>465</v>
      </c>
      <c r="R18" s="337" t="s">
        <v>674</v>
      </c>
    </row>
    <row r="19" spans="1:20" ht="18" customHeight="1" x14ac:dyDescent="0.25">
      <c r="A19" s="168"/>
      <c r="B19" s="138"/>
      <c r="C19" s="139"/>
      <c r="D19" s="140"/>
      <c r="E19" s="141"/>
      <c r="F19" s="117" t="str">
        <f t="shared" ref="F19" si="22">"DI"&amp;E18&amp;"+"</f>
        <v>DI9+</v>
      </c>
      <c r="G19" s="139"/>
      <c r="H19" s="139"/>
      <c r="I19" s="55" t="str">
        <f t="shared" ref="I19" si="23">E18&amp;"b"</f>
        <v>9b</v>
      </c>
      <c r="J19" s="139"/>
      <c r="K19" s="139"/>
      <c r="L19" s="55" t="s">
        <v>378</v>
      </c>
      <c r="M19" s="55" t="s">
        <v>440</v>
      </c>
      <c r="N19" s="117" t="str">
        <f ca="1">D18&amp;"/"&amp;F19</f>
        <v>008/DI9+</v>
      </c>
      <c r="O19" s="226" t="s">
        <v>514</v>
      </c>
      <c r="P19" s="55">
        <v>4</v>
      </c>
      <c r="Q19" s="142"/>
      <c r="R19" s="151"/>
    </row>
    <row r="20" spans="1:20" ht="18" customHeight="1" x14ac:dyDescent="0.25">
      <c r="A20" s="169" t="s">
        <v>191</v>
      </c>
      <c r="B20" s="101" t="s">
        <v>192</v>
      </c>
      <c r="C20" s="102" t="s">
        <v>83</v>
      </c>
      <c r="D20" s="143" t="str" cm="1">
        <f t="array" aca="1" ref="D20" ca="1">_xlfn.LET(_xlpm.filepath,CELL("filename",D20),MID(_xlpm.filepath,FIND("]",_xlpm.filepath)+1,3))</f>
        <v>008</v>
      </c>
      <c r="E20" s="144" t="s">
        <v>105</v>
      </c>
      <c r="F20" s="104" t="str">
        <f t="shared" ref="F20" si="24">"S"&amp;E20&amp;"+"</f>
        <v>S10+</v>
      </c>
      <c r="G20" s="102" t="str">
        <f>G18</f>
        <v>X-DI 32 05</v>
      </c>
      <c r="H20" s="102" t="str">
        <f>H18</f>
        <v>X-CB 005 01</v>
      </c>
      <c r="I20" s="58" t="str">
        <f t="shared" ref="I20" si="25">E20&amp;"a"</f>
        <v>10a</v>
      </c>
      <c r="J20" s="102" t="s">
        <v>56</v>
      </c>
      <c r="K20" s="102" t="s">
        <v>193</v>
      </c>
      <c r="L20" s="58" t="s">
        <v>450</v>
      </c>
      <c r="M20" s="58" t="s">
        <v>440</v>
      </c>
      <c r="N20" s="104" t="str">
        <f ca="1">D20&amp;"/"&amp;F20</f>
        <v>008/S10+</v>
      </c>
      <c r="O20" s="58" t="s">
        <v>515</v>
      </c>
      <c r="P20" s="58">
        <v>1</v>
      </c>
      <c r="Q20" s="103" t="s">
        <v>390</v>
      </c>
      <c r="R20" s="105" t="s">
        <v>91</v>
      </c>
    </row>
    <row r="21" spans="1:20" ht="18" customHeight="1" x14ac:dyDescent="0.25">
      <c r="A21" s="170"/>
      <c r="B21" s="126"/>
      <c r="C21" s="127"/>
      <c r="D21" s="145"/>
      <c r="E21" s="146"/>
      <c r="F21" s="147" t="str">
        <f t="shared" ref="F21" si="26">"DI"&amp;E20&amp;"+"</f>
        <v>DI10+</v>
      </c>
      <c r="G21" s="127"/>
      <c r="H21" s="127"/>
      <c r="I21" s="59" t="str">
        <f t="shared" ref="I21" si="27">E20&amp;"b"</f>
        <v>10b</v>
      </c>
      <c r="J21" s="129"/>
      <c r="K21" s="127"/>
      <c r="L21" s="59" t="s">
        <v>378</v>
      </c>
      <c r="M21" s="59" t="s">
        <v>440</v>
      </c>
      <c r="N21" s="147" t="str">
        <f ca="1">D20&amp;"/"&amp;F21</f>
        <v>008/DI10+</v>
      </c>
      <c r="O21" s="59" t="s">
        <v>515</v>
      </c>
      <c r="P21" s="59">
        <v>2</v>
      </c>
      <c r="Q21" s="128"/>
      <c r="R21" s="130"/>
    </row>
    <row r="22" spans="1:20" ht="18" customHeight="1" x14ac:dyDescent="0.25">
      <c r="A22" s="171" t="s">
        <v>609</v>
      </c>
      <c r="B22" s="120" t="s">
        <v>520</v>
      </c>
      <c r="C22" s="121" t="s">
        <v>83</v>
      </c>
      <c r="D22" s="148" t="str" cm="1">
        <f t="array" aca="1" ref="D22" ca="1">_xlfn.LET(_xlpm.filepath,CELL("filename",D22),MID(_xlpm.filepath,FIND("]",_xlpm.filepath)+1,3))</f>
        <v>008</v>
      </c>
      <c r="E22" s="149">
        <v>11</v>
      </c>
      <c r="F22" s="123" t="str">
        <f t="shared" ref="F22" si="28">"S"&amp;E22&amp;"+"</f>
        <v>S11+</v>
      </c>
      <c r="G22" s="121" t="str">
        <f>G20</f>
        <v>X-DI 32 05</v>
      </c>
      <c r="H22" s="121" t="str">
        <f>H18</f>
        <v>X-CB 005 01</v>
      </c>
      <c r="I22" s="53" t="str">
        <f t="shared" ref="I22" si="29">E22&amp;"a"</f>
        <v>11a</v>
      </c>
      <c r="J22" s="121"/>
      <c r="K22" s="121" t="s">
        <v>193</v>
      </c>
      <c r="L22" s="53" t="s">
        <v>450</v>
      </c>
      <c r="M22" s="53" t="s">
        <v>440</v>
      </c>
      <c r="N22" s="123" t="str">
        <f ca="1">D22&amp;"/"&amp;F22</f>
        <v>008/S11+</v>
      </c>
      <c r="O22" s="223" t="s">
        <v>515</v>
      </c>
      <c r="P22" s="53">
        <v>3</v>
      </c>
      <c r="Q22" s="326" t="s">
        <v>465</v>
      </c>
      <c r="R22" s="337" t="s">
        <v>674</v>
      </c>
    </row>
    <row r="23" spans="1:20" ht="18" customHeight="1" x14ac:dyDescent="0.25">
      <c r="A23" s="168"/>
      <c r="B23" s="138"/>
      <c r="C23" s="139"/>
      <c r="D23" s="140"/>
      <c r="E23" s="141"/>
      <c r="F23" s="117" t="str">
        <f t="shared" ref="F23" si="30">"DI"&amp;E22&amp;"+"</f>
        <v>DI11+</v>
      </c>
      <c r="G23" s="139"/>
      <c r="H23" s="139"/>
      <c r="I23" s="55" t="str">
        <f t="shared" ref="I23" si="31">E22&amp;"b"</f>
        <v>11b</v>
      </c>
      <c r="J23" s="139"/>
      <c r="K23" s="139"/>
      <c r="L23" s="55" t="s">
        <v>378</v>
      </c>
      <c r="M23" s="55" t="s">
        <v>440</v>
      </c>
      <c r="N23" s="117" t="str">
        <f ca="1">D22&amp;"/"&amp;F23</f>
        <v>008/DI11+</v>
      </c>
      <c r="O23" s="226" t="s">
        <v>515</v>
      </c>
      <c r="P23" s="55">
        <v>4</v>
      </c>
      <c r="Q23" s="142"/>
      <c r="R23" s="151"/>
    </row>
    <row r="24" spans="1:20" ht="18" customHeight="1" x14ac:dyDescent="0.25">
      <c r="A24" s="305" t="s">
        <v>672</v>
      </c>
      <c r="B24" s="314" t="s">
        <v>673</v>
      </c>
      <c r="C24" s="102" t="s">
        <v>83</v>
      </c>
      <c r="D24" s="143" t="str" cm="1">
        <f t="array" aca="1" ref="D24" ca="1">_xlfn.LET(_xlpm.filepath,CELL("filename",D24),MID(_xlpm.filepath,FIND("]",_xlpm.filepath)+1,3))</f>
        <v>008</v>
      </c>
      <c r="E24" s="144" t="s">
        <v>108</v>
      </c>
      <c r="F24" s="104" t="str">
        <f t="shared" ref="F24" si="32">"S"&amp;E24&amp;"+"</f>
        <v>S12+</v>
      </c>
      <c r="G24" s="102" t="str">
        <f>G22</f>
        <v>X-DI 32 05</v>
      </c>
      <c r="H24" s="102" t="str">
        <f>H22</f>
        <v>X-CB 005 01</v>
      </c>
      <c r="I24" s="58" t="str">
        <f t="shared" ref="I24" si="33">E24&amp;"a"</f>
        <v>12a</v>
      </c>
      <c r="J24" s="313" t="s">
        <v>87</v>
      </c>
      <c r="K24" s="305" t="s">
        <v>672</v>
      </c>
      <c r="L24" s="58" t="s">
        <v>450</v>
      </c>
      <c r="M24" s="58" t="s">
        <v>440</v>
      </c>
      <c r="N24" s="104" t="str">
        <f ca="1">D24&amp;"/"&amp;F24</f>
        <v>008/S12+</v>
      </c>
      <c r="O24" s="296" t="s">
        <v>637</v>
      </c>
      <c r="P24" s="294">
        <v>13</v>
      </c>
      <c r="Q24" s="315" t="s">
        <v>465</v>
      </c>
      <c r="R24" s="262" t="s">
        <v>674</v>
      </c>
      <c r="T24" s="286" t="s">
        <v>670</v>
      </c>
    </row>
    <row r="25" spans="1:20" ht="18" customHeight="1" x14ac:dyDescent="0.25">
      <c r="A25" s="304"/>
      <c r="B25" s="306"/>
      <c r="C25" s="127"/>
      <c r="D25" s="145"/>
      <c r="E25" s="146"/>
      <c r="F25" s="147" t="str">
        <f t="shared" ref="F25" si="34">"DI"&amp;E24&amp;"+"</f>
        <v>DI12+</v>
      </c>
      <c r="G25" s="127"/>
      <c r="H25" s="127"/>
      <c r="I25" s="59" t="str">
        <f t="shared" ref="I25" si="35">E24&amp;"b"</f>
        <v>12b</v>
      </c>
      <c r="J25" s="129"/>
      <c r="K25" s="127"/>
      <c r="L25" s="59" t="s">
        <v>378</v>
      </c>
      <c r="M25" s="59" t="s">
        <v>440</v>
      </c>
      <c r="N25" s="147" t="str">
        <f ca="1">D24&amp;"/"&amp;F25</f>
        <v>008/DI12+</v>
      </c>
      <c r="O25" s="289" t="s">
        <v>637</v>
      </c>
      <c r="P25" s="290">
        <v>23</v>
      </c>
      <c r="Q25" s="128"/>
      <c r="R25" s="130"/>
    </row>
    <row r="26" spans="1:20" ht="18" customHeight="1" x14ac:dyDescent="0.25">
      <c r="A26" s="171" t="s">
        <v>120</v>
      </c>
      <c r="B26" s="120" t="s">
        <v>121</v>
      </c>
      <c r="C26" s="121" t="s">
        <v>83</v>
      </c>
      <c r="D26" s="148" t="str" cm="1">
        <f t="array" aca="1" ref="D26" ca="1">_xlfn.LET(_xlpm.filepath,CELL("filename",D26),MID(_xlpm.filepath,FIND("]",_xlpm.filepath)+1,3))</f>
        <v>008</v>
      </c>
      <c r="E26" s="149">
        <v>13</v>
      </c>
      <c r="F26" s="123" t="str">
        <f t="shared" ref="F26" si="36">"S"&amp;E26&amp;"+"</f>
        <v>S13+</v>
      </c>
      <c r="G26" s="121" t="str">
        <f>G24</f>
        <v>X-DI 32 05</v>
      </c>
      <c r="H26" s="121" t="str">
        <f>H22</f>
        <v>X-CB 005 01</v>
      </c>
      <c r="I26" s="53" t="str">
        <f t="shared" ref="I26" si="37">E26&amp;"a"</f>
        <v>13a</v>
      </c>
      <c r="J26" s="121" t="s">
        <v>109</v>
      </c>
      <c r="K26" s="121" t="s">
        <v>517</v>
      </c>
      <c r="L26" s="53" t="s">
        <v>450</v>
      </c>
      <c r="M26" s="53" t="s">
        <v>440</v>
      </c>
      <c r="N26" s="123" t="str">
        <f ca="1">D26&amp;"/"&amp;F26</f>
        <v>008/S13+</v>
      </c>
      <c r="O26" s="53" t="s">
        <v>503</v>
      </c>
      <c r="P26" s="53">
        <v>17</v>
      </c>
      <c r="Q26" s="124" t="s">
        <v>390</v>
      </c>
      <c r="R26" s="150">
        <v>0</v>
      </c>
    </row>
    <row r="27" spans="1:20" ht="18" customHeight="1" x14ac:dyDescent="0.25">
      <c r="A27" s="168"/>
      <c r="B27" s="138">
        <v>5</v>
      </c>
      <c r="C27" s="139"/>
      <c r="D27" s="140"/>
      <c r="E27" s="141"/>
      <c r="F27" s="117" t="str">
        <f t="shared" ref="F27" si="38">"DI"&amp;E26&amp;"+"</f>
        <v>DI13+</v>
      </c>
      <c r="G27" s="139"/>
      <c r="H27" s="139"/>
      <c r="I27" s="55" t="str">
        <f t="shared" ref="I27" si="39">E26&amp;"b"</f>
        <v>13b</v>
      </c>
      <c r="J27" s="139"/>
      <c r="K27" s="139"/>
      <c r="L27" s="55" t="s">
        <v>378</v>
      </c>
      <c r="M27" s="55" t="s">
        <v>440</v>
      </c>
      <c r="N27" s="117" t="str">
        <f ca="1">D26&amp;"/"&amp;F27</f>
        <v>008/DI13+</v>
      </c>
      <c r="O27" s="55" t="s">
        <v>503</v>
      </c>
      <c r="P27" s="55">
        <v>18</v>
      </c>
      <c r="Q27" s="142"/>
      <c r="R27" s="151"/>
    </row>
    <row r="28" spans="1:20" ht="18" customHeight="1" x14ac:dyDescent="0.25">
      <c r="A28" s="169" t="s">
        <v>198</v>
      </c>
      <c r="B28" s="101" t="s">
        <v>199</v>
      </c>
      <c r="C28" s="102" t="s">
        <v>83</v>
      </c>
      <c r="D28" s="143" t="str" cm="1">
        <f t="array" aca="1" ref="D28" ca="1">_xlfn.LET(_xlpm.filepath,CELL("filename",D28),MID(_xlpm.filepath,FIND("]",_xlpm.filepath)+1,3))</f>
        <v>008</v>
      </c>
      <c r="E28" s="144" t="s">
        <v>112</v>
      </c>
      <c r="F28" s="104" t="str">
        <f t="shared" ref="F28" si="40">"S"&amp;E28&amp;"+"</f>
        <v>S14+</v>
      </c>
      <c r="G28" s="102" t="str">
        <f>G26</f>
        <v>X-DI 32 05</v>
      </c>
      <c r="H28" s="102" t="str">
        <f>H26</f>
        <v>X-CB 005 01</v>
      </c>
      <c r="I28" s="58" t="str">
        <f t="shared" ref="I28" si="41">E28&amp;"a"</f>
        <v>14a</v>
      </c>
      <c r="J28" s="102" t="s">
        <v>56</v>
      </c>
      <c r="K28" s="102" t="s">
        <v>200</v>
      </c>
      <c r="L28" s="58" t="s">
        <v>450</v>
      </c>
      <c r="M28" s="58" t="s">
        <v>440</v>
      </c>
      <c r="N28" s="104" t="str">
        <f ca="1">D28&amp;"/"&amp;F28</f>
        <v>008/S14+</v>
      </c>
      <c r="O28" s="58" t="s">
        <v>518</v>
      </c>
      <c r="P28" s="58">
        <v>1</v>
      </c>
      <c r="Q28" s="103" t="s">
        <v>390</v>
      </c>
      <c r="R28" s="105" t="s">
        <v>91</v>
      </c>
    </row>
    <row r="29" spans="1:20" ht="18" customHeight="1" x14ac:dyDescent="0.25">
      <c r="A29" s="170"/>
      <c r="B29" s="126"/>
      <c r="C29" s="127"/>
      <c r="D29" s="145"/>
      <c r="E29" s="146"/>
      <c r="F29" s="147" t="str">
        <f t="shared" ref="F29" si="42">"DI"&amp;E28&amp;"+"</f>
        <v>DI14+</v>
      </c>
      <c r="G29" s="127"/>
      <c r="H29" s="127"/>
      <c r="I29" s="59" t="str">
        <f t="shared" ref="I29" si="43">E28&amp;"b"</f>
        <v>14b</v>
      </c>
      <c r="J29" s="129"/>
      <c r="K29" s="127"/>
      <c r="L29" s="59" t="s">
        <v>378</v>
      </c>
      <c r="M29" s="59" t="s">
        <v>440</v>
      </c>
      <c r="N29" s="147" t="str">
        <f ca="1">D28&amp;"/"&amp;F29</f>
        <v>008/DI14+</v>
      </c>
      <c r="O29" s="59" t="s">
        <v>518</v>
      </c>
      <c r="P29" s="59">
        <v>2</v>
      </c>
      <c r="Q29" s="128"/>
      <c r="R29" s="130"/>
    </row>
    <row r="30" spans="1:20" ht="18" customHeight="1" x14ac:dyDescent="0.25">
      <c r="A30" s="171" t="s">
        <v>202</v>
      </c>
      <c r="B30" s="120" t="s">
        <v>203</v>
      </c>
      <c r="C30" s="121" t="s">
        <v>83</v>
      </c>
      <c r="D30" s="148" t="str" cm="1">
        <f t="array" aca="1" ref="D30" ca="1">_xlfn.LET(_xlpm.filepath,CELL("filename",D30),MID(_xlpm.filepath,FIND("]",_xlpm.filepath)+1,3))</f>
        <v>008</v>
      </c>
      <c r="E30" s="149">
        <v>15</v>
      </c>
      <c r="F30" s="123" t="str">
        <f t="shared" ref="F30" si="44">"S"&amp;E30&amp;"+"</f>
        <v>S15+</v>
      </c>
      <c r="G30" s="121" t="str">
        <f>G28</f>
        <v>X-DI 32 05</v>
      </c>
      <c r="H30" s="121" t="str">
        <f>H26</f>
        <v>X-CB 005 01</v>
      </c>
      <c r="I30" s="53" t="str">
        <f t="shared" ref="I30" si="45">E30&amp;"a"</f>
        <v>15a</v>
      </c>
      <c r="J30" s="121" t="s">
        <v>56</v>
      </c>
      <c r="K30" s="121" t="s">
        <v>204</v>
      </c>
      <c r="L30" s="53" t="s">
        <v>450</v>
      </c>
      <c r="M30" s="53" t="s">
        <v>440</v>
      </c>
      <c r="N30" s="123" t="str">
        <f ca="1">D30&amp;"/"&amp;F30</f>
        <v>008/S15+</v>
      </c>
      <c r="O30" s="53" t="s">
        <v>518</v>
      </c>
      <c r="P30" s="53">
        <v>5</v>
      </c>
      <c r="Q30" s="124" t="s">
        <v>390</v>
      </c>
      <c r="R30" s="150">
        <v>0</v>
      </c>
    </row>
    <row r="31" spans="1:20" ht="18" customHeight="1" x14ac:dyDescent="0.25">
      <c r="A31" s="168"/>
      <c r="B31" s="138"/>
      <c r="C31" s="139"/>
      <c r="D31" s="140"/>
      <c r="E31" s="141"/>
      <c r="F31" s="117" t="str">
        <f t="shared" ref="F31" si="46">"DI"&amp;E30&amp;"+"</f>
        <v>DI15+</v>
      </c>
      <c r="G31" s="139"/>
      <c r="H31" s="139"/>
      <c r="I31" s="55" t="str">
        <f t="shared" ref="I31" si="47">E30&amp;"b"</f>
        <v>15b</v>
      </c>
      <c r="J31" s="139"/>
      <c r="K31" s="139"/>
      <c r="L31" s="55" t="s">
        <v>378</v>
      </c>
      <c r="M31" s="55" t="s">
        <v>440</v>
      </c>
      <c r="N31" s="117" t="str">
        <f ca="1">D30&amp;"/"&amp;F31</f>
        <v>008/DI15+</v>
      </c>
      <c r="O31" s="55" t="s">
        <v>518</v>
      </c>
      <c r="P31" s="55">
        <v>6</v>
      </c>
      <c r="Q31" s="142"/>
      <c r="R31" s="151"/>
    </row>
    <row r="32" spans="1:20" ht="18" customHeight="1" x14ac:dyDescent="0.25">
      <c r="A32" s="169" t="s">
        <v>206</v>
      </c>
      <c r="B32" s="101" t="s">
        <v>207</v>
      </c>
      <c r="C32" s="102" t="s">
        <v>83</v>
      </c>
      <c r="D32" s="143" t="str" cm="1">
        <f t="array" aca="1" ref="D32" ca="1">_xlfn.LET(_xlpm.filepath,CELL("filename",D32),MID(_xlpm.filepath,FIND("]",_xlpm.filepath)+1,3))</f>
        <v>008</v>
      </c>
      <c r="E32" s="144" t="s">
        <v>118</v>
      </c>
      <c r="F32" s="104" t="str">
        <f t="shared" ref="F32" si="48">"S"&amp;E32&amp;"+"</f>
        <v>S16+</v>
      </c>
      <c r="G32" s="102" t="str">
        <f>G30</f>
        <v>X-DI 32 05</v>
      </c>
      <c r="H32" s="102" t="str">
        <f>H30</f>
        <v>X-CB 005 01</v>
      </c>
      <c r="I32" s="58" t="str">
        <f t="shared" ref="I32" si="49">E32&amp;"a"</f>
        <v>16a</v>
      </c>
      <c r="J32" s="102" t="s">
        <v>56</v>
      </c>
      <c r="K32" s="102" t="s">
        <v>208</v>
      </c>
      <c r="L32" s="58" t="s">
        <v>450</v>
      </c>
      <c r="M32" s="58" t="s">
        <v>440</v>
      </c>
      <c r="N32" s="104" t="str">
        <f ca="1">D32&amp;"/"&amp;F32</f>
        <v>008/S16+</v>
      </c>
      <c r="O32" s="58" t="s">
        <v>518</v>
      </c>
      <c r="P32" s="58">
        <v>9</v>
      </c>
      <c r="Q32" s="103" t="s">
        <v>390</v>
      </c>
      <c r="R32" s="105" t="s">
        <v>91</v>
      </c>
    </row>
    <row r="33" spans="1:20" ht="18" customHeight="1" x14ac:dyDescent="0.25">
      <c r="A33" s="170"/>
      <c r="B33" s="126"/>
      <c r="C33" s="127"/>
      <c r="D33" s="145"/>
      <c r="E33" s="146"/>
      <c r="F33" s="147" t="str">
        <f t="shared" ref="F33" si="50">"DI"&amp;E32&amp;"+"</f>
        <v>DI16+</v>
      </c>
      <c r="G33" s="127"/>
      <c r="H33" s="127"/>
      <c r="I33" s="59" t="str">
        <f t="shared" ref="I33" si="51">E32&amp;"b"</f>
        <v>16b</v>
      </c>
      <c r="J33" s="129"/>
      <c r="K33" s="127"/>
      <c r="L33" s="59" t="s">
        <v>378</v>
      </c>
      <c r="M33" s="59" t="s">
        <v>440</v>
      </c>
      <c r="N33" s="147" t="str">
        <f ca="1">D32&amp;"/"&amp;F33</f>
        <v>008/DI16+</v>
      </c>
      <c r="O33" s="59" t="s">
        <v>518</v>
      </c>
      <c r="P33" s="59">
        <v>10</v>
      </c>
      <c r="Q33" s="128"/>
      <c r="R33" s="130"/>
    </row>
    <row r="34" spans="1:20" ht="18" customHeight="1" x14ac:dyDescent="0.25">
      <c r="A34" s="171" t="s">
        <v>210</v>
      </c>
      <c r="B34" s="120" t="s">
        <v>211</v>
      </c>
      <c r="C34" s="121" t="s">
        <v>83</v>
      </c>
      <c r="D34" s="148" t="str" cm="1">
        <f t="array" aca="1" ref="D34" ca="1">_xlfn.LET(_xlpm.filepath,CELL("filename",D34),MID(_xlpm.filepath,FIND("]",_xlpm.filepath)+1,3))</f>
        <v>008</v>
      </c>
      <c r="E34" s="149">
        <v>17</v>
      </c>
      <c r="F34" s="123" t="str">
        <f t="shared" ref="F34" si="52">"S"&amp;E34&amp;"+"</f>
        <v>S17+</v>
      </c>
      <c r="G34" s="121" t="str">
        <f>G32</f>
        <v>X-DI 32 05</v>
      </c>
      <c r="H34" s="121" t="str">
        <f>H30</f>
        <v>X-CB 005 01</v>
      </c>
      <c r="I34" s="53" t="str">
        <f t="shared" ref="I34" si="53">E34&amp;"a"</f>
        <v>17a</v>
      </c>
      <c r="J34" s="121" t="s">
        <v>56</v>
      </c>
      <c r="K34" s="121" t="s">
        <v>212</v>
      </c>
      <c r="L34" s="53" t="s">
        <v>450</v>
      </c>
      <c r="M34" s="53" t="s">
        <v>440</v>
      </c>
      <c r="N34" s="123" t="str">
        <f ca="1">D34&amp;"/"&amp;F34</f>
        <v>008/S17+</v>
      </c>
      <c r="O34" s="53" t="s">
        <v>518</v>
      </c>
      <c r="P34" s="53">
        <v>13</v>
      </c>
      <c r="Q34" s="124" t="s">
        <v>390</v>
      </c>
      <c r="R34" s="150">
        <v>0</v>
      </c>
    </row>
    <row r="35" spans="1:20" ht="18" customHeight="1" x14ac:dyDescent="0.25">
      <c r="A35" s="168"/>
      <c r="B35" s="138"/>
      <c r="C35" s="139"/>
      <c r="D35" s="140"/>
      <c r="E35" s="141"/>
      <c r="F35" s="117" t="str">
        <f t="shared" ref="F35" si="54">"DI"&amp;E34&amp;"+"</f>
        <v>DI17+</v>
      </c>
      <c r="G35" s="139"/>
      <c r="H35" s="139"/>
      <c r="I35" s="55" t="str">
        <f t="shared" ref="I35" si="55">E34&amp;"b"</f>
        <v>17b</v>
      </c>
      <c r="J35" s="139"/>
      <c r="K35" s="139"/>
      <c r="L35" s="55" t="s">
        <v>378</v>
      </c>
      <c r="M35" s="55" t="s">
        <v>440</v>
      </c>
      <c r="N35" s="117" t="str">
        <f ca="1">D34&amp;"/"&amp;F35</f>
        <v>008/DI17+</v>
      </c>
      <c r="O35" s="55" t="s">
        <v>518</v>
      </c>
      <c r="P35" s="55">
        <v>14</v>
      </c>
      <c r="Q35" s="142"/>
      <c r="R35" s="151"/>
    </row>
    <row r="36" spans="1:20" ht="18" customHeight="1" x14ac:dyDescent="0.25">
      <c r="A36" s="169" t="s">
        <v>214</v>
      </c>
      <c r="B36" s="101" t="s">
        <v>215</v>
      </c>
      <c r="C36" s="102" t="s">
        <v>83</v>
      </c>
      <c r="D36" s="143" t="str" cm="1">
        <f t="array" aca="1" ref="D36" ca="1">_xlfn.LET(_xlpm.filepath,CELL("filename",D36),MID(_xlpm.filepath,FIND("]",_xlpm.filepath)+1,3))</f>
        <v>008</v>
      </c>
      <c r="E36" s="144" t="s">
        <v>123</v>
      </c>
      <c r="F36" s="104" t="str">
        <f t="shared" ref="F36" si="56">"S"&amp;E36&amp;"+"</f>
        <v>S18+</v>
      </c>
      <c r="G36" s="102" t="str">
        <f>G34</f>
        <v>X-DI 32 05</v>
      </c>
      <c r="H36" s="102" t="str">
        <f>H34</f>
        <v>X-CB 005 01</v>
      </c>
      <c r="I36" s="58" t="str">
        <f t="shared" ref="I36" si="57">E36&amp;"a"</f>
        <v>18a</v>
      </c>
      <c r="J36" s="102" t="s">
        <v>56</v>
      </c>
      <c r="K36" s="102" t="s">
        <v>466</v>
      </c>
      <c r="L36" s="58" t="s">
        <v>450</v>
      </c>
      <c r="M36" s="58" t="s">
        <v>440</v>
      </c>
      <c r="N36" s="104" t="str">
        <f ca="1">D36&amp;"/"&amp;F36</f>
        <v>008/S18+</v>
      </c>
      <c r="O36" s="58" t="s">
        <v>518</v>
      </c>
      <c r="P36" s="58">
        <v>17</v>
      </c>
      <c r="Q36" s="103" t="s">
        <v>390</v>
      </c>
      <c r="R36" s="105" t="s">
        <v>91</v>
      </c>
    </row>
    <row r="37" spans="1:20" ht="18" customHeight="1" x14ac:dyDescent="0.25">
      <c r="A37" s="170"/>
      <c r="B37" s="126"/>
      <c r="C37" s="127"/>
      <c r="D37" s="145"/>
      <c r="E37" s="146"/>
      <c r="F37" s="147" t="str">
        <f t="shared" ref="F37" si="58">"DI"&amp;E36&amp;"+"</f>
        <v>DI18+</v>
      </c>
      <c r="G37" s="127"/>
      <c r="H37" s="127"/>
      <c r="I37" s="59" t="str">
        <f t="shared" ref="I37" si="59">E36&amp;"b"</f>
        <v>18b</v>
      </c>
      <c r="J37" s="129"/>
      <c r="K37" s="127"/>
      <c r="L37" s="59" t="s">
        <v>378</v>
      </c>
      <c r="M37" s="59" t="s">
        <v>440</v>
      </c>
      <c r="N37" s="147" t="str">
        <f ca="1">D36&amp;"/"&amp;F37</f>
        <v>008/DI18+</v>
      </c>
      <c r="O37" s="59" t="s">
        <v>518</v>
      </c>
      <c r="P37" s="59">
        <v>18</v>
      </c>
      <c r="Q37" s="128"/>
      <c r="R37" s="130"/>
    </row>
    <row r="38" spans="1:20" ht="18" customHeight="1" x14ac:dyDescent="0.25">
      <c r="A38" s="171" t="s">
        <v>217</v>
      </c>
      <c r="B38" s="120" t="s">
        <v>218</v>
      </c>
      <c r="C38" s="121" t="s">
        <v>83</v>
      </c>
      <c r="D38" s="148" t="str" cm="1">
        <f t="array" aca="1" ref="D38" ca="1">_xlfn.LET(_xlpm.filepath,CELL("filename",D38),MID(_xlpm.filepath,FIND("]",_xlpm.filepath)+1,3))</f>
        <v>008</v>
      </c>
      <c r="E38" s="149">
        <v>19</v>
      </c>
      <c r="F38" s="123" t="str">
        <f t="shared" ref="F38" si="60">"S"&amp;E38&amp;"+"</f>
        <v>S19+</v>
      </c>
      <c r="G38" s="121" t="str">
        <f>G36</f>
        <v>X-DI 32 05</v>
      </c>
      <c r="H38" s="121" t="str">
        <f>H34</f>
        <v>X-CB 005 01</v>
      </c>
      <c r="I38" s="53" t="str">
        <f t="shared" ref="I38" si="61">E38&amp;"a"</f>
        <v>19a</v>
      </c>
      <c r="J38" s="121" t="s">
        <v>56</v>
      </c>
      <c r="K38" s="121" t="s">
        <v>467</v>
      </c>
      <c r="L38" s="53" t="s">
        <v>450</v>
      </c>
      <c r="M38" s="53" t="s">
        <v>440</v>
      </c>
      <c r="N38" s="123" t="str">
        <f ca="1">D38&amp;"/"&amp;F38</f>
        <v>008/S19+</v>
      </c>
      <c r="O38" s="53" t="s">
        <v>518</v>
      </c>
      <c r="P38" s="53">
        <v>21</v>
      </c>
      <c r="Q38" s="124" t="s">
        <v>390</v>
      </c>
      <c r="R38" s="150">
        <v>0</v>
      </c>
    </row>
    <row r="39" spans="1:20" ht="18" customHeight="1" x14ac:dyDescent="0.25">
      <c r="A39" s="168"/>
      <c r="B39" s="138"/>
      <c r="C39" s="139"/>
      <c r="D39" s="140"/>
      <c r="E39" s="141"/>
      <c r="F39" s="117" t="str">
        <f t="shared" ref="F39" si="62">"DI"&amp;E38&amp;"+"</f>
        <v>DI19+</v>
      </c>
      <c r="G39" s="139"/>
      <c r="H39" s="139"/>
      <c r="I39" s="55" t="str">
        <f t="shared" ref="I39" si="63">E38&amp;"b"</f>
        <v>19b</v>
      </c>
      <c r="J39" s="139"/>
      <c r="K39" s="139"/>
      <c r="L39" s="55" t="s">
        <v>378</v>
      </c>
      <c r="M39" s="55" t="s">
        <v>440</v>
      </c>
      <c r="N39" s="117" t="str">
        <f ca="1">D38&amp;"/"&amp;F39</f>
        <v>008/DI19+</v>
      </c>
      <c r="O39" s="55" t="s">
        <v>518</v>
      </c>
      <c r="P39" s="55">
        <v>22</v>
      </c>
      <c r="Q39" s="142"/>
      <c r="R39" s="151"/>
    </row>
    <row r="40" spans="1:20" ht="18" customHeight="1" x14ac:dyDescent="0.25">
      <c r="A40" s="169" t="s">
        <v>220</v>
      </c>
      <c r="B40" s="101" t="s">
        <v>221</v>
      </c>
      <c r="C40" s="102" t="s">
        <v>83</v>
      </c>
      <c r="D40" s="143" t="str" cm="1">
        <f t="array" aca="1" ref="D40" ca="1">_xlfn.LET(_xlpm.filepath,CELL("filename",D40),MID(_xlpm.filepath,FIND("]",_xlpm.filepath)+1,3))</f>
        <v>008</v>
      </c>
      <c r="E40" s="144" t="s">
        <v>128</v>
      </c>
      <c r="F40" s="104" t="str">
        <f t="shared" ref="F40" si="64">"S"&amp;E40&amp;"+"</f>
        <v>S20+</v>
      </c>
      <c r="G40" s="102" t="str">
        <f>G38</f>
        <v>X-DI 32 05</v>
      </c>
      <c r="H40" s="102" t="str">
        <f>H38</f>
        <v>X-CB 005 01</v>
      </c>
      <c r="I40" s="58" t="str">
        <f t="shared" ref="I40" si="65">E40&amp;"a"</f>
        <v>20a</v>
      </c>
      <c r="J40" s="102" t="s">
        <v>56</v>
      </c>
      <c r="K40" s="102" t="s">
        <v>468</v>
      </c>
      <c r="L40" s="58" t="s">
        <v>450</v>
      </c>
      <c r="M40" s="58" t="s">
        <v>440</v>
      </c>
      <c r="N40" s="104" t="str">
        <f ca="1">D40&amp;"/"&amp;F40</f>
        <v>008/S20+</v>
      </c>
      <c r="O40" s="58" t="s">
        <v>518</v>
      </c>
      <c r="P40" s="58">
        <v>25</v>
      </c>
      <c r="Q40" s="103" t="s">
        <v>390</v>
      </c>
      <c r="R40" s="105" t="s">
        <v>91</v>
      </c>
    </row>
    <row r="41" spans="1:20" ht="18" customHeight="1" x14ac:dyDescent="0.25">
      <c r="A41" s="170"/>
      <c r="B41" s="126"/>
      <c r="C41" s="127"/>
      <c r="D41" s="145"/>
      <c r="E41" s="146"/>
      <c r="F41" s="147" t="str">
        <f t="shared" ref="F41" si="66">"DI"&amp;E40&amp;"+"</f>
        <v>DI20+</v>
      </c>
      <c r="G41" s="127"/>
      <c r="H41" s="127"/>
      <c r="I41" s="59" t="str">
        <f t="shared" ref="I41" si="67">E40&amp;"b"</f>
        <v>20b</v>
      </c>
      <c r="J41" s="129"/>
      <c r="K41" s="127"/>
      <c r="L41" s="59" t="s">
        <v>378</v>
      </c>
      <c r="M41" s="59" t="s">
        <v>440</v>
      </c>
      <c r="N41" s="147" t="str">
        <f ca="1">D40&amp;"/"&amp;F41</f>
        <v>008/DI20+</v>
      </c>
      <c r="O41" s="59" t="s">
        <v>518</v>
      </c>
      <c r="P41" s="59">
        <v>26</v>
      </c>
      <c r="Q41" s="128"/>
      <c r="R41" s="130"/>
    </row>
    <row r="42" spans="1:20" ht="18" customHeight="1" x14ac:dyDescent="0.25">
      <c r="A42" s="171" t="s">
        <v>610</v>
      </c>
      <c r="B42" s="120" t="s">
        <v>377</v>
      </c>
      <c r="C42" s="121" t="s">
        <v>83</v>
      </c>
      <c r="D42" s="148" t="str" cm="1">
        <f t="array" aca="1" ref="D42" ca="1">_xlfn.LET(_xlpm.filepath,CELL("filename",D42),MID(_xlpm.filepath,FIND("]",_xlpm.filepath)+1,3))</f>
        <v>008</v>
      </c>
      <c r="E42" s="149">
        <v>21</v>
      </c>
      <c r="F42" s="123" t="str">
        <f t="shared" ref="F42" si="68">"S"&amp;E42&amp;"+"</f>
        <v>S21+</v>
      </c>
      <c r="G42" s="121" t="str">
        <f>G40</f>
        <v>X-DI 32 05</v>
      </c>
      <c r="H42" s="121" t="str">
        <f>H38</f>
        <v>X-CB 005 01</v>
      </c>
      <c r="I42" s="53" t="str">
        <f t="shared" ref="I42" si="69">E42&amp;"a"</f>
        <v>21a</v>
      </c>
      <c r="J42" s="121"/>
      <c r="K42" s="121"/>
      <c r="L42" s="53" t="s">
        <v>450</v>
      </c>
      <c r="M42" s="53" t="s">
        <v>440</v>
      </c>
      <c r="N42" s="123" t="str">
        <f ca="1">D42&amp;"/"&amp;F42</f>
        <v>008/S21+</v>
      </c>
      <c r="O42" s="53" t="s">
        <v>497</v>
      </c>
      <c r="P42" s="53">
        <v>1</v>
      </c>
      <c r="Q42" s="326" t="s">
        <v>465</v>
      </c>
      <c r="R42" s="338" t="s">
        <v>674</v>
      </c>
      <c r="T42" s="285" t="s">
        <v>667</v>
      </c>
    </row>
    <row r="43" spans="1:20" ht="18" customHeight="1" x14ac:dyDescent="0.25">
      <c r="A43" s="168"/>
      <c r="B43" s="138"/>
      <c r="C43" s="139"/>
      <c r="D43" s="140"/>
      <c r="E43" s="141"/>
      <c r="F43" s="117" t="str">
        <f t="shared" ref="F43" si="70">"DI"&amp;E42&amp;"+"</f>
        <v>DI21+</v>
      </c>
      <c r="G43" s="139"/>
      <c r="H43" s="139"/>
      <c r="I43" s="55" t="str">
        <f t="shared" ref="I43" si="71">E42&amp;"b"</f>
        <v>21b</v>
      </c>
      <c r="J43" s="139"/>
      <c r="K43" s="139"/>
      <c r="L43" s="55" t="s">
        <v>378</v>
      </c>
      <c r="M43" s="55" t="s">
        <v>440</v>
      </c>
      <c r="N43" s="117" t="str">
        <f ca="1">D42&amp;"/"&amp;F43</f>
        <v>008/DI21+</v>
      </c>
      <c r="O43" s="55" t="s">
        <v>497</v>
      </c>
      <c r="P43" s="55">
        <v>2</v>
      </c>
      <c r="Q43" s="142"/>
      <c r="R43" s="151"/>
      <c r="T43" s="308"/>
    </row>
    <row r="44" spans="1:20" ht="18" customHeight="1" x14ac:dyDescent="0.25">
      <c r="A44" s="169" t="s">
        <v>611</v>
      </c>
      <c r="B44" s="101" t="s">
        <v>377</v>
      </c>
      <c r="C44" s="102" t="s">
        <v>83</v>
      </c>
      <c r="D44" s="143" t="str" cm="1">
        <f t="array" aca="1" ref="D44" ca="1">_xlfn.LET(_xlpm.filepath,CELL("filename",D44),MID(_xlpm.filepath,FIND("]",_xlpm.filepath)+1,3))</f>
        <v>008</v>
      </c>
      <c r="E44" s="144" t="s">
        <v>132</v>
      </c>
      <c r="F44" s="104" t="str">
        <f t="shared" ref="F44" si="72">"S"&amp;E44&amp;"+"</f>
        <v>S22+</v>
      </c>
      <c r="G44" s="102" t="str">
        <f>G42</f>
        <v>X-DI 32 05</v>
      </c>
      <c r="H44" s="102" t="str">
        <f>H42</f>
        <v>X-CB 005 01</v>
      </c>
      <c r="I44" s="58" t="str">
        <f t="shared" ref="I44" si="73">E44&amp;"a"</f>
        <v>22a</v>
      </c>
      <c r="J44" s="102"/>
      <c r="K44" s="102"/>
      <c r="L44" s="58" t="s">
        <v>450</v>
      </c>
      <c r="M44" s="58" t="s">
        <v>440</v>
      </c>
      <c r="N44" s="104" t="str">
        <f ca="1">D44&amp;"/"&amp;F44</f>
        <v>008/S22+</v>
      </c>
      <c r="O44" s="58" t="s">
        <v>497</v>
      </c>
      <c r="P44" s="316" t="s">
        <v>237</v>
      </c>
      <c r="Q44" s="315" t="s">
        <v>465</v>
      </c>
      <c r="R44" s="339" t="s">
        <v>674</v>
      </c>
      <c r="T44" s="285" t="s">
        <v>667</v>
      </c>
    </row>
    <row r="45" spans="1:20" ht="18" customHeight="1" x14ac:dyDescent="0.25">
      <c r="A45" s="170"/>
      <c r="B45" s="126"/>
      <c r="C45" s="127"/>
      <c r="D45" s="145"/>
      <c r="E45" s="146"/>
      <c r="F45" s="147" t="str">
        <f t="shared" ref="F45" si="74">"DI"&amp;E44&amp;"+"</f>
        <v>DI22+</v>
      </c>
      <c r="G45" s="127"/>
      <c r="H45" s="127"/>
      <c r="I45" s="59" t="str">
        <f t="shared" ref="I45" si="75">E44&amp;"b"</f>
        <v>22b</v>
      </c>
      <c r="J45" s="129"/>
      <c r="K45" s="127"/>
      <c r="L45" s="59" t="s">
        <v>378</v>
      </c>
      <c r="M45" s="59" t="s">
        <v>440</v>
      </c>
      <c r="N45" s="147" t="str">
        <f ca="1">D44&amp;"/"&amp;F45</f>
        <v>008/DI22+</v>
      </c>
      <c r="O45" s="59" t="s">
        <v>497</v>
      </c>
      <c r="P45" s="327" t="s">
        <v>96</v>
      </c>
      <c r="Q45" s="128"/>
      <c r="R45" s="130"/>
      <c r="T45" s="308"/>
    </row>
    <row r="46" spans="1:20" ht="18" customHeight="1" x14ac:dyDescent="0.25">
      <c r="A46" s="171" t="s">
        <v>612</v>
      </c>
      <c r="B46" s="120" t="s">
        <v>224</v>
      </c>
      <c r="C46" s="121" t="s">
        <v>83</v>
      </c>
      <c r="D46" s="148" t="str" cm="1">
        <f t="array" aca="1" ref="D46" ca="1">_xlfn.LET(_xlpm.filepath,CELL("filename",D46),MID(_xlpm.filepath,FIND("]",_xlpm.filepath)+1,3))</f>
        <v>008</v>
      </c>
      <c r="E46" s="149">
        <v>23</v>
      </c>
      <c r="F46" s="123" t="str">
        <f t="shared" ref="F46" si="76">"S"&amp;E46&amp;"+"</f>
        <v>S23+</v>
      </c>
      <c r="G46" s="121" t="str">
        <f t="shared" ref="G46" si="77">G44</f>
        <v>X-DI 32 05</v>
      </c>
      <c r="H46" s="121" t="str">
        <f t="shared" ref="H46" si="78">H42</f>
        <v>X-CB 005 01</v>
      </c>
      <c r="I46" s="53" t="str">
        <f t="shared" ref="I46" si="79">E46&amp;"a"</f>
        <v>23a</v>
      </c>
      <c r="J46" s="121" t="s">
        <v>56</v>
      </c>
      <c r="K46" s="121" t="s">
        <v>612</v>
      </c>
      <c r="L46" s="53" t="s">
        <v>450</v>
      </c>
      <c r="M46" s="53" t="s">
        <v>440</v>
      </c>
      <c r="N46" s="123" t="str">
        <f ca="1">D46&amp;"/"&amp;F46</f>
        <v>008/S23+</v>
      </c>
      <c r="O46" s="53" t="s">
        <v>519</v>
      </c>
      <c r="P46" s="53">
        <v>1</v>
      </c>
      <c r="Q46" s="124" t="s">
        <v>390</v>
      </c>
      <c r="R46" s="150">
        <v>0</v>
      </c>
    </row>
    <row r="47" spans="1:20" ht="18" customHeight="1" x14ac:dyDescent="0.25">
      <c r="A47" s="168"/>
      <c r="B47" s="138"/>
      <c r="C47" s="139"/>
      <c r="D47" s="140"/>
      <c r="E47" s="141"/>
      <c r="F47" s="117" t="str">
        <f t="shared" ref="F47" si="80">"DI"&amp;E46&amp;"+"</f>
        <v>DI23+</v>
      </c>
      <c r="G47" s="139"/>
      <c r="H47" s="139"/>
      <c r="I47" s="55" t="str">
        <f t="shared" ref="I47" si="81">E46&amp;"b"</f>
        <v>23b</v>
      </c>
      <c r="J47" s="139"/>
      <c r="K47" s="139"/>
      <c r="L47" s="55" t="s">
        <v>378</v>
      </c>
      <c r="M47" s="55" t="s">
        <v>440</v>
      </c>
      <c r="N47" s="117" t="str">
        <f ca="1">D46&amp;"/"&amp;F47</f>
        <v>008/DI23+</v>
      </c>
      <c r="O47" s="55" t="s">
        <v>519</v>
      </c>
      <c r="P47" s="55">
        <v>2</v>
      </c>
      <c r="Q47" s="142"/>
      <c r="R47" s="151"/>
    </row>
    <row r="48" spans="1:20" ht="18" customHeight="1" x14ac:dyDescent="0.25">
      <c r="A48" s="169" t="s">
        <v>613</v>
      </c>
      <c r="B48" s="101" t="s">
        <v>226</v>
      </c>
      <c r="C48" s="102" t="s">
        <v>83</v>
      </c>
      <c r="D48" s="143" t="str" cm="1">
        <f t="array" aca="1" ref="D48" ca="1">_xlfn.LET(_xlpm.filepath,CELL("filename",D48),MID(_xlpm.filepath,FIND("]",_xlpm.filepath)+1,3))</f>
        <v>008</v>
      </c>
      <c r="E48" s="144" t="s">
        <v>137</v>
      </c>
      <c r="F48" s="104" t="str">
        <f t="shared" ref="F48" si="82">"S"&amp;E48&amp;"+"</f>
        <v>S24+</v>
      </c>
      <c r="G48" s="102" t="str">
        <f t="shared" ref="G48:H48" si="83">G46</f>
        <v>X-DI 32 05</v>
      </c>
      <c r="H48" s="102" t="str">
        <f t="shared" si="83"/>
        <v>X-CB 005 01</v>
      </c>
      <c r="I48" s="58" t="str">
        <f t="shared" ref="I48" si="84">E48&amp;"a"</f>
        <v>24a</v>
      </c>
      <c r="J48" s="102" t="s">
        <v>56</v>
      </c>
      <c r="K48" s="102" t="s">
        <v>613</v>
      </c>
      <c r="L48" s="58" t="s">
        <v>450</v>
      </c>
      <c r="M48" s="58" t="s">
        <v>440</v>
      </c>
      <c r="N48" s="104" t="str">
        <f ca="1">D48&amp;"/"&amp;F48</f>
        <v>008/S24+</v>
      </c>
      <c r="O48" s="58" t="s">
        <v>519</v>
      </c>
      <c r="P48" s="58">
        <v>5</v>
      </c>
      <c r="Q48" s="103" t="s">
        <v>390</v>
      </c>
      <c r="R48" s="105" t="s">
        <v>91</v>
      </c>
    </row>
    <row r="49" spans="1:20" ht="18" customHeight="1" x14ac:dyDescent="0.25">
      <c r="A49" s="170"/>
      <c r="B49" s="126"/>
      <c r="C49" s="127"/>
      <c r="D49" s="145"/>
      <c r="E49" s="146"/>
      <c r="F49" s="147" t="str">
        <f t="shared" ref="F49" si="85">"DI"&amp;E48&amp;"+"</f>
        <v>DI24+</v>
      </c>
      <c r="G49" s="127"/>
      <c r="H49" s="127"/>
      <c r="I49" s="59" t="str">
        <f t="shared" ref="I49" si="86">E48&amp;"b"</f>
        <v>24b</v>
      </c>
      <c r="J49" s="129"/>
      <c r="K49" s="127"/>
      <c r="L49" s="59" t="s">
        <v>378</v>
      </c>
      <c r="M49" s="59" t="s">
        <v>440</v>
      </c>
      <c r="N49" s="147" t="str">
        <f ca="1">D48&amp;"/"&amp;F49</f>
        <v>008/DI24+</v>
      </c>
      <c r="O49" s="59" t="s">
        <v>519</v>
      </c>
      <c r="P49" s="59">
        <v>6</v>
      </c>
      <c r="Q49" s="128"/>
      <c r="R49" s="130"/>
    </row>
    <row r="50" spans="1:20" ht="18" customHeight="1" x14ac:dyDescent="0.25">
      <c r="A50" s="171" t="s">
        <v>614</v>
      </c>
      <c r="B50" s="120" t="s">
        <v>228</v>
      </c>
      <c r="C50" s="121" t="s">
        <v>83</v>
      </c>
      <c r="D50" s="148" t="str" cm="1">
        <f t="array" aca="1" ref="D50" ca="1">_xlfn.LET(_xlpm.filepath,CELL("filename",D50),MID(_xlpm.filepath,FIND("]",_xlpm.filepath)+1,3))</f>
        <v>008</v>
      </c>
      <c r="E50" s="149">
        <v>25</v>
      </c>
      <c r="F50" s="123" t="str">
        <f t="shared" ref="F50" si="87">"S"&amp;E50&amp;"+"</f>
        <v>S25+</v>
      </c>
      <c r="G50" s="121" t="str">
        <f t="shared" ref="G50" si="88">G48</f>
        <v>X-DI 32 05</v>
      </c>
      <c r="H50" s="121" t="str">
        <f t="shared" ref="H50" si="89">H46</f>
        <v>X-CB 005 01</v>
      </c>
      <c r="I50" s="53" t="str">
        <f t="shared" ref="I50" si="90">E50&amp;"a"</f>
        <v>25a</v>
      </c>
      <c r="J50" s="200" t="s">
        <v>56</v>
      </c>
      <c r="K50" s="121" t="s">
        <v>614</v>
      </c>
      <c r="L50" s="53" t="s">
        <v>450</v>
      </c>
      <c r="M50" s="53" t="s">
        <v>440</v>
      </c>
      <c r="N50" s="123" t="str">
        <f ca="1">D50&amp;"/"&amp;F50</f>
        <v>008/S25+</v>
      </c>
      <c r="O50" s="53" t="s">
        <v>519</v>
      </c>
      <c r="P50" s="53">
        <v>9</v>
      </c>
      <c r="Q50" s="124" t="s">
        <v>390</v>
      </c>
      <c r="R50" s="150">
        <v>0</v>
      </c>
    </row>
    <row r="51" spans="1:20" ht="18" customHeight="1" x14ac:dyDescent="0.25">
      <c r="A51" s="168"/>
      <c r="B51" s="138"/>
      <c r="C51" s="139"/>
      <c r="D51" s="140"/>
      <c r="E51" s="141"/>
      <c r="F51" s="117" t="str">
        <f t="shared" ref="F51" si="91">"DI"&amp;E50&amp;"+"</f>
        <v>DI25+</v>
      </c>
      <c r="G51" s="139"/>
      <c r="H51" s="139"/>
      <c r="I51" s="55" t="str">
        <f t="shared" ref="I51" si="92">E50&amp;"b"</f>
        <v>25b</v>
      </c>
      <c r="J51" s="201"/>
      <c r="K51" s="139"/>
      <c r="L51" s="55" t="s">
        <v>378</v>
      </c>
      <c r="M51" s="55" t="s">
        <v>440</v>
      </c>
      <c r="N51" s="117" t="str">
        <f ca="1">D50&amp;"/"&amp;F51</f>
        <v>008/DI25+</v>
      </c>
      <c r="O51" s="55" t="s">
        <v>519</v>
      </c>
      <c r="P51" s="55">
        <v>10</v>
      </c>
      <c r="Q51" s="142"/>
      <c r="R51" s="151"/>
    </row>
    <row r="52" spans="1:20" ht="18" customHeight="1" x14ac:dyDescent="0.25">
      <c r="A52" s="169" t="s">
        <v>615</v>
      </c>
      <c r="B52" s="101" t="s">
        <v>230</v>
      </c>
      <c r="C52" s="102" t="s">
        <v>83</v>
      </c>
      <c r="D52" s="143" t="str" cm="1">
        <f t="array" aca="1" ref="D52" ca="1">_xlfn.LET(_xlpm.filepath,CELL("filename",D52),MID(_xlpm.filepath,FIND("]",_xlpm.filepath)+1,3))</f>
        <v>008</v>
      </c>
      <c r="E52" s="144" t="s">
        <v>141</v>
      </c>
      <c r="F52" s="104" t="str">
        <f t="shared" ref="F52" si="93">"S"&amp;E52&amp;"+"</f>
        <v>S26+</v>
      </c>
      <c r="G52" s="102" t="str">
        <f t="shared" ref="G52:H52" si="94">G50</f>
        <v>X-DI 32 05</v>
      </c>
      <c r="H52" s="102" t="str">
        <f t="shared" si="94"/>
        <v>X-CB 005 01</v>
      </c>
      <c r="I52" s="58" t="str">
        <f t="shared" ref="I52" si="95">E52&amp;"a"</f>
        <v>26a</v>
      </c>
      <c r="J52" s="102" t="s">
        <v>56</v>
      </c>
      <c r="K52" s="102" t="s">
        <v>615</v>
      </c>
      <c r="L52" s="58" t="s">
        <v>450</v>
      </c>
      <c r="M52" s="58" t="s">
        <v>440</v>
      </c>
      <c r="N52" s="104" t="str">
        <f ca="1">D52&amp;"/"&amp;F52</f>
        <v>008/S26+</v>
      </c>
      <c r="O52" s="58" t="s">
        <v>519</v>
      </c>
      <c r="P52" s="220" t="s">
        <v>262</v>
      </c>
      <c r="Q52" s="103" t="s">
        <v>390</v>
      </c>
      <c r="R52" s="105" t="s">
        <v>91</v>
      </c>
    </row>
    <row r="53" spans="1:20" ht="18" customHeight="1" x14ac:dyDescent="0.25">
      <c r="A53" s="170"/>
      <c r="B53" s="126"/>
      <c r="C53" s="127"/>
      <c r="D53" s="145"/>
      <c r="E53" s="146"/>
      <c r="F53" s="147" t="str">
        <f t="shared" ref="F53" si="96">"DI"&amp;E52&amp;"+"</f>
        <v>DI26+</v>
      </c>
      <c r="G53" s="127"/>
      <c r="H53" s="127"/>
      <c r="I53" s="59" t="str">
        <f t="shared" ref="I53" si="97">E52&amp;"b"</f>
        <v>26b</v>
      </c>
      <c r="J53" s="129"/>
      <c r="K53" s="127"/>
      <c r="L53" s="59" t="s">
        <v>378</v>
      </c>
      <c r="M53" s="59" t="s">
        <v>440</v>
      </c>
      <c r="N53" s="147" t="str">
        <f ca="1">D52&amp;"/"&amp;F53</f>
        <v>008/DI26+</v>
      </c>
      <c r="O53" s="59" t="s">
        <v>519</v>
      </c>
      <c r="P53" s="221" t="s">
        <v>112</v>
      </c>
      <c r="Q53" s="128"/>
      <c r="R53" s="130"/>
    </row>
    <row r="54" spans="1:20" ht="18" customHeight="1" x14ac:dyDescent="0.25">
      <c r="A54" s="321" t="s">
        <v>647</v>
      </c>
      <c r="B54" s="303" t="s">
        <v>648</v>
      </c>
      <c r="C54" s="121" t="s">
        <v>83</v>
      </c>
      <c r="D54" s="148" t="str" cm="1">
        <f t="array" aca="1" ref="D54" ca="1">_xlfn.LET(_xlpm.filepath,CELL("filename",D54),MID(_xlpm.filepath,FIND("]",_xlpm.filepath)+1,3))</f>
        <v>008</v>
      </c>
      <c r="E54" s="149">
        <v>27</v>
      </c>
      <c r="F54" s="123" t="str">
        <f t="shared" ref="F54" si="98">"S"&amp;E54&amp;"+"</f>
        <v>S27+</v>
      </c>
      <c r="G54" s="121" t="str">
        <f t="shared" ref="G54" si="99">G52</f>
        <v>X-DI 32 05</v>
      </c>
      <c r="H54" s="121" t="str">
        <f t="shared" ref="H54" si="100">H50</f>
        <v>X-CB 005 01</v>
      </c>
      <c r="I54" s="53" t="str">
        <f t="shared" ref="I54" si="101">E54&amp;"a"</f>
        <v>27a</v>
      </c>
      <c r="J54" s="121"/>
      <c r="K54" s="121"/>
      <c r="L54" s="53" t="s">
        <v>450</v>
      </c>
      <c r="M54" s="53" t="s">
        <v>440</v>
      </c>
      <c r="N54" s="123" t="str">
        <f ca="1">D54&amp;"/"&amp;F54</f>
        <v>008/S27+</v>
      </c>
      <c r="O54" s="292" t="s">
        <v>651</v>
      </c>
      <c r="P54" s="60">
        <v>1</v>
      </c>
      <c r="Q54" s="124" t="s">
        <v>390</v>
      </c>
      <c r="R54" s="267" t="s">
        <v>674</v>
      </c>
      <c r="S54" s="274" t="s">
        <v>653</v>
      </c>
    </row>
    <row r="55" spans="1:20" ht="18" customHeight="1" x14ac:dyDescent="0.25">
      <c r="A55" s="322"/>
      <c r="B55" s="318"/>
      <c r="C55" s="139"/>
      <c r="D55" s="140"/>
      <c r="E55" s="141"/>
      <c r="F55" s="117" t="str">
        <f t="shared" ref="F55" si="102">"DI"&amp;E54&amp;"+"</f>
        <v>DI27+</v>
      </c>
      <c r="G55" s="139"/>
      <c r="H55" s="139"/>
      <c r="I55" s="55" t="str">
        <f t="shared" ref="I55" si="103">E54&amp;"b"</f>
        <v>27b</v>
      </c>
      <c r="J55" s="139"/>
      <c r="K55" s="139"/>
      <c r="L55" s="55" t="s">
        <v>378</v>
      </c>
      <c r="M55" s="55" t="s">
        <v>440</v>
      </c>
      <c r="N55" s="117" t="str">
        <f ca="1">D54&amp;"/"&amp;F55</f>
        <v>008/DI27+</v>
      </c>
      <c r="O55" s="288" t="s">
        <v>651</v>
      </c>
      <c r="P55" s="73">
        <v>2</v>
      </c>
      <c r="Q55" s="142"/>
      <c r="R55" s="151"/>
    </row>
    <row r="56" spans="1:20" ht="18" customHeight="1" x14ac:dyDescent="0.25">
      <c r="A56" s="260" t="s">
        <v>649</v>
      </c>
      <c r="B56" s="319" t="s">
        <v>650</v>
      </c>
      <c r="C56" s="102" t="s">
        <v>83</v>
      </c>
      <c r="D56" s="143" t="str" cm="1">
        <f t="array" aca="1" ref="D56" ca="1">_xlfn.LET(_xlpm.filepath,CELL("filename",D56),MID(_xlpm.filepath,FIND("]",_xlpm.filepath)+1,3))</f>
        <v>008</v>
      </c>
      <c r="E56" s="144" t="s">
        <v>145</v>
      </c>
      <c r="F56" s="104" t="str">
        <f t="shared" ref="F56" si="104">"S"&amp;E56&amp;"+"</f>
        <v>S28+</v>
      </c>
      <c r="G56" s="102" t="str">
        <f t="shared" ref="G56:H56" si="105">G54</f>
        <v>X-DI 32 05</v>
      </c>
      <c r="H56" s="102" t="str">
        <f t="shared" si="105"/>
        <v>X-CB 005 01</v>
      </c>
      <c r="I56" s="58" t="str">
        <f t="shared" ref="I56" si="106">E56&amp;"a"</f>
        <v>28a</v>
      </c>
      <c r="J56" s="102"/>
      <c r="K56" s="102"/>
      <c r="L56" s="58" t="s">
        <v>450</v>
      </c>
      <c r="M56" s="58" t="s">
        <v>440</v>
      </c>
      <c r="N56" s="104" t="str">
        <f ca="1">D56&amp;"/"&amp;F56</f>
        <v>008/S28+</v>
      </c>
      <c r="O56" s="291" t="s">
        <v>651</v>
      </c>
      <c r="P56" s="295">
        <v>3</v>
      </c>
      <c r="Q56" s="103" t="s">
        <v>390</v>
      </c>
      <c r="R56" s="262" t="s">
        <v>674</v>
      </c>
      <c r="S56" s="273" t="s">
        <v>653</v>
      </c>
    </row>
    <row r="57" spans="1:20" ht="18" customHeight="1" x14ac:dyDescent="0.25">
      <c r="A57" s="323"/>
      <c r="B57" s="320"/>
      <c r="C57" s="127"/>
      <c r="D57" s="145"/>
      <c r="E57" s="146"/>
      <c r="F57" s="147" t="str">
        <f t="shared" ref="F57" si="107">"DI"&amp;E56&amp;"+"</f>
        <v>DI28+</v>
      </c>
      <c r="G57" s="127"/>
      <c r="H57" s="127"/>
      <c r="I57" s="59" t="str">
        <f t="shared" ref="I57" si="108">E56&amp;"b"</f>
        <v>28b</v>
      </c>
      <c r="J57" s="129"/>
      <c r="K57" s="127"/>
      <c r="L57" s="59" t="s">
        <v>378</v>
      </c>
      <c r="M57" s="59" t="s">
        <v>440</v>
      </c>
      <c r="N57" s="147" t="str">
        <f ca="1">D56&amp;"/"&amp;F57</f>
        <v>008/DI28+</v>
      </c>
      <c r="O57" s="298" t="s">
        <v>651</v>
      </c>
      <c r="P57" s="75">
        <v>4</v>
      </c>
      <c r="Q57" s="128"/>
      <c r="R57" s="130"/>
    </row>
    <row r="58" spans="1:20" ht="18" customHeight="1" x14ac:dyDescent="0.25">
      <c r="A58" s="171" t="s">
        <v>616</v>
      </c>
      <c r="B58" s="120" t="s">
        <v>377</v>
      </c>
      <c r="C58" s="121" t="s">
        <v>83</v>
      </c>
      <c r="D58" s="148" t="str" cm="1">
        <f t="array" aca="1" ref="D58" ca="1">_xlfn.LET(_xlpm.filepath,CELL("filename",D58),MID(_xlpm.filepath,FIND("]",_xlpm.filepath)+1,3))</f>
        <v>008</v>
      </c>
      <c r="E58" s="149">
        <v>29</v>
      </c>
      <c r="F58" s="123" t="str">
        <f t="shared" ref="F58" si="109">"S"&amp;E58&amp;"+"</f>
        <v>S29+</v>
      </c>
      <c r="G58" s="121" t="str">
        <f t="shared" ref="G58" si="110">G56</f>
        <v>X-DI 32 05</v>
      </c>
      <c r="H58" s="121" t="str">
        <f t="shared" ref="H58" si="111">H54</f>
        <v>X-CB 005 01</v>
      </c>
      <c r="I58" s="53" t="str">
        <f t="shared" ref="I58:I62" si="112">E58&amp;"a"</f>
        <v>29a</v>
      </c>
      <c r="J58" s="121"/>
      <c r="K58" s="121"/>
      <c r="L58" s="53" t="s">
        <v>450</v>
      </c>
      <c r="M58" s="53" t="s">
        <v>440</v>
      </c>
      <c r="N58" s="123" t="str">
        <f ca="1">D58&amp;"/"&amp;F58</f>
        <v>008/S29+</v>
      </c>
      <c r="O58" s="53" t="s">
        <v>497</v>
      </c>
      <c r="P58" s="53">
        <v>5</v>
      </c>
      <c r="Q58" s="326" t="s">
        <v>465</v>
      </c>
      <c r="R58" s="267" t="s">
        <v>674</v>
      </c>
      <c r="T58" s="285" t="s">
        <v>667</v>
      </c>
    </row>
    <row r="59" spans="1:20" ht="18" customHeight="1" x14ac:dyDescent="0.25">
      <c r="A59" s="168"/>
      <c r="B59" s="138"/>
      <c r="C59" s="139"/>
      <c r="D59" s="140"/>
      <c r="E59" s="141"/>
      <c r="F59" s="117" t="str">
        <f t="shared" ref="F59" si="113">"DI"&amp;E58&amp;"+"</f>
        <v>DI29+</v>
      </c>
      <c r="G59" s="139"/>
      <c r="H59" s="139"/>
      <c r="I59" s="55" t="str">
        <f t="shared" ref="I59:I63" si="114">E58&amp;"b"</f>
        <v>29b</v>
      </c>
      <c r="J59" s="139"/>
      <c r="K59" s="139"/>
      <c r="L59" s="55" t="s">
        <v>378</v>
      </c>
      <c r="M59" s="55" t="s">
        <v>440</v>
      </c>
      <c r="N59" s="117" t="str">
        <f ca="1">D58&amp;"/"&amp;F59</f>
        <v>008/DI29+</v>
      </c>
      <c r="O59" s="55" t="s">
        <v>497</v>
      </c>
      <c r="P59" s="55">
        <v>6</v>
      </c>
      <c r="Q59" s="142"/>
      <c r="R59" s="151"/>
    </row>
    <row r="60" spans="1:20" ht="18" customHeight="1" x14ac:dyDescent="0.25">
      <c r="A60" s="169" t="s">
        <v>617</v>
      </c>
      <c r="B60" s="101" t="s">
        <v>377</v>
      </c>
      <c r="C60" s="102" t="s">
        <v>83</v>
      </c>
      <c r="D60" s="143" t="str" cm="1">
        <f t="array" aca="1" ref="D60" ca="1">_xlfn.LET(_xlpm.filepath,CELL("filename",D60),MID(_xlpm.filepath,FIND("]",_xlpm.filepath)+1,3))</f>
        <v>008</v>
      </c>
      <c r="E60" s="144" t="s">
        <v>150</v>
      </c>
      <c r="F60" s="104" t="str">
        <f t="shared" ref="F60" si="115">"S"&amp;E60&amp;"+"</f>
        <v>S30+</v>
      </c>
      <c r="G60" s="102" t="str">
        <f t="shared" ref="G60:H60" si="116">G58</f>
        <v>X-DI 32 05</v>
      </c>
      <c r="H60" s="102" t="str">
        <f t="shared" si="116"/>
        <v>X-CB 005 01</v>
      </c>
      <c r="I60" s="58" t="str">
        <f t="shared" ref="I60" si="117">E60&amp;"a"</f>
        <v>30a</v>
      </c>
      <c r="J60" s="102"/>
      <c r="K60" s="102"/>
      <c r="L60" s="58" t="s">
        <v>450</v>
      </c>
      <c r="M60" s="58" t="s">
        <v>440</v>
      </c>
      <c r="N60" s="104" t="str">
        <f ca="1">D60&amp;"/"&amp;F60</f>
        <v>008/S30+</v>
      </c>
      <c r="O60" s="58" t="s">
        <v>497</v>
      </c>
      <c r="P60" s="316" t="s">
        <v>246</v>
      </c>
      <c r="Q60" s="315" t="s">
        <v>465</v>
      </c>
      <c r="R60" s="262" t="s">
        <v>674</v>
      </c>
      <c r="T60" s="285" t="s">
        <v>667</v>
      </c>
    </row>
    <row r="61" spans="1:20" ht="18" customHeight="1" x14ac:dyDescent="0.25">
      <c r="A61" s="170"/>
      <c r="B61" s="126"/>
      <c r="C61" s="127"/>
      <c r="D61" s="145"/>
      <c r="E61" s="146"/>
      <c r="F61" s="147" t="str">
        <f t="shared" ref="F61" si="118">"DI"&amp;E60&amp;"+"</f>
        <v>DI30+</v>
      </c>
      <c r="G61" s="127"/>
      <c r="H61" s="127"/>
      <c r="I61" s="59" t="str">
        <f t="shared" ref="I61" si="119">E60&amp;"b"</f>
        <v>30b</v>
      </c>
      <c r="J61" s="129"/>
      <c r="K61" s="127"/>
      <c r="L61" s="59" t="s">
        <v>378</v>
      </c>
      <c r="M61" s="59" t="s">
        <v>440</v>
      </c>
      <c r="N61" s="147" t="str">
        <f ca="1">D60&amp;"/"&amp;F61</f>
        <v>008/DI30+</v>
      </c>
      <c r="O61" s="59" t="s">
        <v>497</v>
      </c>
      <c r="P61" s="327" t="s">
        <v>102</v>
      </c>
      <c r="Q61" s="128"/>
      <c r="R61" s="130"/>
    </row>
    <row r="62" spans="1:20" ht="18" customHeight="1" x14ac:dyDescent="0.25">
      <c r="A62" s="171" t="s">
        <v>618</v>
      </c>
      <c r="B62" s="120" t="s">
        <v>377</v>
      </c>
      <c r="C62" s="121" t="s">
        <v>83</v>
      </c>
      <c r="D62" s="148" t="str" cm="1">
        <f t="array" aca="1" ref="D62" ca="1">_xlfn.LET(_xlpm.filepath,CELL("filename",D62),MID(_xlpm.filepath,FIND("]",_xlpm.filepath)+1,3))</f>
        <v>008</v>
      </c>
      <c r="E62" s="149">
        <v>31</v>
      </c>
      <c r="F62" s="123" t="str">
        <f t="shared" ref="F62" si="120">"S"&amp;E62&amp;"+"</f>
        <v>S31+</v>
      </c>
      <c r="G62" s="121" t="str">
        <f t="shared" ref="G62" si="121">G60</f>
        <v>X-DI 32 05</v>
      </c>
      <c r="H62" s="121" t="str">
        <f t="shared" ref="H62" si="122">H58</f>
        <v>X-CB 005 01</v>
      </c>
      <c r="I62" s="53" t="str">
        <f t="shared" si="112"/>
        <v>31a</v>
      </c>
      <c r="J62" s="121"/>
      <c r="K62" s="121"/>
      <c r="L62" s="53" t="s">
        <v>450</v>
      </c>
      <c r="M62" s="53" t="s">
        <v>440</v>
      </c>
      <c r="N62" s="123" t="str">
        <f ca="1">D62&amp;"/"&amp;F62</f>
        <v>008/S31+</v>
      </c>
      <c r="O62" s="53" t="s">
        <v>497</v>
      </c>
      <c r="P62" s="53">
        <v>9</v>
      </c>
      <c r="Q62" s="326" t="s">
        <v>465</v>
      </c>
      <c r="R62" s="267" t="s">
        <v>674</v>
      </c>
      <c r="T62" s="285" t="s">
        <v>667</v>
      </c>
    </row>
    <row r="63" spans="1:20" ht="18" customHeight="1" x14ac:dyDescent="0.25">
      <c r="A63" s="168"/>
      <c r="B63" s="138"/>
      <c r="C63" s="139"/>
      <c r="D63" s="140"/>
      <c r="E63" s="141"/>
      <c r="F63" s="117" t="str">
        <f t="shared" ref="F63" si="123">"DI"&amp;E62&amp;"+"</f>
        <v>DI31+</v>
      </c>
      <c r="G63" s="139"/>
      <c r="H63" s="139"/>
      <c r="I63" s="55" t="str">
        <f t="shared" si="114"/>
        <v>31b</v>
      </c>
      <c r="J63" s="139"/>
      <c r="K63" s="139"/>
      <c r="L63" s="55" t="s">
        <v>378</v>
      </c>
      <c r="M63" s="55" t="s">
        <v>440</v>
      </c>
      <c r="N63" s="117" t="str">
        <f ca="1">D62&amp;"/"&amp;F63</f>
        <v>008/DI31+</v>
      </c>
      <c r="O63" s="55" t="s">
        <v>497</v>
      </c>
      <c r="P63" s="55">
        <v>10</v>
      </c>
      <c r="Q63" s="142"/>
      <c r="R63" s="151"/>
    </row>
    <row r="64" spans="1:20" ht="18" customHeight="1" x14ac:dyDescent="0.25">
      <c r="A64" s="100" t="s">
        <v>619</v>
      </c>
      <c r="B64" s="101" t="s">
        <v>377</v>
      </c>
      <c r="C64" s="102" t="s">
        <v>83</v>
      </c>
      <c r="D64" s="143" t="str" cm="1">
        <f t="array" aca="1" ref="D64" ca="1">_xlfn.LET(_xlpm.filepath,CELL("filename",D64),MID(_xlpm.filepath,FIND("]",_xlpm.filepath)+1,3))</f>
        <v>008</v>
      </c>
      <c r="E64" s="144" t="s">
        <v>154</v>
      </c>
      <c r="F64" s="152" t="str">
        <f t="shared" ref="F64" si="124">"S"&amp;E64&amp;"+"</f>
        <v>S32+</v>
      </c>
      <c r="G64" s="102" t="str">
        <f>G62</f>
        <v>X-DI 32 05</v>
      </c>
      <c r="H64" s="102" t="str">
        <f>H62</f>
        <v>X-CB 005 01</v>
      </c>
      <c r="I64" s="58" t="str">
        <f t="shared" ref="I64" si="125">E64&amp;"a"</f>
        <v>32a</v>
      </c>
      <c r="J64" s="102"/>
      <c r="K64" s="102"/>
      <c r="L64" s="58" t="s">
        <v>450</v>
      </c>
      <c r="M64" s="58" t="s">
        <v>440</v>
      </c>
      <c r="N64" s="103" t="str">
        <f ca="1">D64&amp;"/"&amp;F64</f>
        <v>008/S32+</v>
      </c>
      <c r="O64" s="58" t="s">
        <v>497</v>
      </c>
      <c r="P64" s="316" t="s">
        <v>257</v>
      </c>
      <c r="Q64" s="315" t="s">
        <v>465</v>
      </c>
      <c r="R64" s="262" t="s">
        <v>674</v>
      </c>
      <c r="T64" s="285" t="s">
        <v>667</v>
      </c>
    </row>
    <row r="65" spans="1:18" ht="18" customHeight="1" thickBot="1" x14ac:dyDescent="0.3">
      <c r="A65" s="153"/>
      <c r="B65" s="154"/>
      <c r="C65" s="155"/>
      <c r="D65" s="156"/>
      <c r="E65" s="157"/>
      <c r="F65" s="158" t="str">
        <f t="shared" ref="F65" si="126">"DI"&amp;E64&amp;"+"</f>
        <v>DI32+</v>
      </c>
      <c r="G65" s="155"/>
      <c r="H65" s="155"/>
      <c r="I65" s="62" t="str">
        <f t="shared" ref="I65" si="127">E64&amp;"b"</f>
        <v>32b</v>
      </c>
      <c r="J65" s="159"/>
      <c r="K65" s="155"/>
      <c r="L65" s="62" t="s">
        <v>378</v>
      </c>
      <c r="M65" s="62" t="s">
        <v>440</v>
      </c>
      <c r="N65" s="160" t="str">
        <f ca="1">D64&amp;"/"&amp;F65</f>
        <v>008/DI32+</v>
      </c>
      <c r="O65" s="62" t="s">
        <v>497</v>
      </c>
      <c r="P65" s="336" t="s">
        <v>108</v>
      </c>
      <c r="Q65" s="160"/>
      <c r="R65" s="161"/>
    </row>
  </sheetData>
  <autoFilter ref="A1:R65" xr:uid="{4C349A20-0BBD-4874-A99A-FE7BDBC46336}"/>
  <pageMargins left="0.23622047244094491" right="0.23622047244094491" top="0.74803149606299213" bottom="0.74803149606299213" header="0.31496062992125984" footer="0.31496062992125984"/>
  <pageSetup paperSize="8" scale="73" fitToHeight="2" orientation="landscape" verticalDpi="1200" r:id="rId1"/>
  <headerFooter scaleWithDoc="0">
    <oddHeader>&amp;CSlot/Type: &amp;A</oddHeader>
    <oddFooter>&amp;L&amp;F&amp;R&amp;P of &amp;N</oddFooter>
  </headerFooter>
  <rowBreaks count="1" manualBreakCount="1">
    <brk id="3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615-DCFB-4422-947C-8866BCE1E60C}">
  <dimension ref="A1:T65"/>
  <sheetViews>
    <sheetView view="pageBreakPreview" topLeftCell="A31" zoomScaleNormal="100" zoomScaleSheetLayoutView="100" workbookViewId="0">
      <selection activeCell="M30" sqref="M30"/>
    </sheetView>
  </sheetViews>
  <sheetFormatPr defaultRowHeight="15" x14ac:dyDescent="0.25"/>
  <cols>
    <col min="1" max="1" width="22.85546875" bestFit="1" customWidth="1"/>
    <col min="2" max="2" width="61.85546875" bestFit="1" customWidth="1"/>
    <col min="4" max="4" width="9.140625" style="51"/>
    <col min="5" max="5" width="9.140625" style="50"/>
    <col min="7" max="7" width="11.140625" customWidth="1"/>
    <col min="8" max="8" width="14.7109375" customWidth="1"/>
    <col min="9" max="9" width="8.5703125" customWidth="1"/>
    <col min="10" max="10" width="21.140625" customWidth="1"/>
    <col min="11" max="11" width="19.140625" bestFit="1" customWidth="1"/>
    <col min="13" max="13" width="14.7109375" bestFit="1" customWidth="1"/>
    <col min="14" max="14" width="20.5703125" bestFit="1" customWidth="1"/>
    <col min="15" max="15" width="17.7109375" customWidth="1"/>
    <col min="16" max="16" width="10.42578125" style="12" customWidth="1"/>
    <col min="17" max="17" width="8.42578125" customWidth="1"/>
    <col min="18" max="18" width="6.42578125" customWidth="1"/>
    <col min="252" max="252" width="19.5703125" customWidth="1"/>
    <col min="253" max="253" width="52.7109375" customWidth="1"/>
    <col min="258" max="258" width="11.140625" customWidth="1"/>
    <col min="259" max="259" width="14.7109375" customWidth="1"/>
    <col min="260" max="260" width="21.140625" customWidth="1"/>
    <col min="261" max="261" width="14.42578125" customWidth="1"/>
    <col min="263" max="263" width="20.5703125" bestFit="1" customWidth="1"/>
    <col min="264" max="264" width="17.7109375" customWidth="1"/>
    <col min="265" max="265" width="10.42578125" customWidth="1"/>
    <col min="266" max="266" width="8.42578125" customWidth="1"/>
    <col min="267" max="267" width="6.42578125" customWidth="1"/>
    <col min="268" max="268" width="22.5703125" customWidth="1"/>
    <col min="508" max="508" width="19.5703125" customWidth="1"/>
    <col min="509" max="509" width="52.7109375" customWidth="1"/>
    <col min="514" max="514" width="11.140625" customWidth="1"/>
    <col min="515" max="515" width="14.7109375" customWidth="1"/>
    <col min="516" max="516" width="21.140625" customWidth="1"/>
    <col min="517" max="517" width="14.42578125" customWidth="1"/>
    <col min="519" max="519" width="20.5703125" bestFit="1" customWidth="1"/>
    <col min="520" max="520" width="17.7109375" customWidth="1"/>
    <col min="521" max="521" width="10.42578125" customWidth="1"/>
    <col min="522" max="522" width="8.42578125" customWidth="1"/>
    <col min="523" max="523" width="6.42578125" customWidth="1"/>
    <col min="524" max="524" width="22.5703125" customWidth="1"/>
    <col min="764" max="764" width="19.5703125" customWidth="1"/>
    <col min="765" max="765" width="52.7109375" customWidth="1"/>
    <col min="770" max="770" width="11.140625" customWidth="1"/>
    <col min="771" max="771" width="14.7109375" customWidth="1"/>
    <col min="772" max="772" width="21.140625" customWidth="1"/>
    <col min="773" max="773" width="14.42578125" customWidth="1"/>
    <col min="775" max="775" width="20.5703125" bestFit="1" customWidth="1"/>
    <col min="776" max="776" width="17.7109375" customWidth="1"/>
    <col min="777" max="777" width="10.42578125" customWidth="1"/>
    <col min="778" max="778" width="8.42578125" customWidth="1"/>
    <col min="779" max="779" width="6.42578125" customWidth="1"/>
    <col min="780" max="780" width="22.5703125" customWidth="1"/>
    <col min="1020" max="1020" width="19.5703125" customWidth="1"/>
    <col min="1021" max="1021" width="52.7109375" customWidth="1"/>
    <col min="1026" max="1026" width="11.140625" customWidth="1"/>
    <col min="1027" max="1027" width="14.7109375" customWidth="1"/>
    <col min="1028" max="1028" width="21.140625" customWidth="1"/>
    <col min="1029" max="1029" width="14.42578125" customWidth="1"/>
    <col min="1031" max="1031" width="20.5703125" bestFit="1" customWidth="1"/>
    <col min="1032" max="1032" width="17.7109375" customWidth="1"/>
    <col min="1033" max="1033" width="10.42578125" customWidth="1"/>
    <col min="1034" max="1034" width="8.42578125" customWidth="1"/>
    <col min="1035" max="1035" width="6.42578125" customWidth="1"/>
    <col min="1036" max="1036" width="22.5703125" customWidth="1"/>
    <col min="1276" max="1276" width="19.5703125" customWidth="1"/>
    <col min="1277" max="1277" width="52.7109375" customWidth="1"/>
    <col min="1282" max="1282" width="11.140625" customWidth="1"/>
    <col min="1283" max="1283" width="14.7109375" customWidth="1"/>
    <col min="1284" max="1284" width="21.140625" customWidth="1"/>
    <col min="1285" max="1285" width="14.42578125" customWidth="1"/>
    <col min="1287" max="1287" width="20.5703125" bestFit="1" customWidth="1"/>
    <col min="1288" max="1288" width="17.7109375" customWidth="1"/>
    <col min="1289" max="1289" width="10.42578125" customWidth="1"/>
    <col min="1290" max="1290" width="8.42578125" customWidth="1"/>
    <col min="1291" max="1291" width="6.42578125" customWidth="1"/>
    <col min="1292" max="1292" width="22.5703125" customWidth="1"/>
    <col min="1532" max="1532" width="19.5703125" customWidth="1"/>
    <col min="1533" max="1533" width="52.7109375" customWidth="1"/>
    <col min="1538" max="1538" width="11.140625" customWidth="1"/>
    <col min="1539" max="1539" width="14.7109375" customWidth="1"/>
    <col min="1540" max="1540" width="21.140625" customWidth="1"/>
    <col min="1541" max="1541" width="14.42578125" customWidth="1"/>
    <col min="1543" max="1543" width="20.5703125" bestFit="1" customWidth="1"/>
    <col min="1544" max="1544" width="17.7109375" customWidth="1"/>
    <col min="1545" max="1545" width="10.42578125" customWidth="1"/>
    <col min="1546" max="1546" width="8.42578125" customWidth="1"/>
    <col min="1547" max="1547" width="6.42578125" customWidth="1"/>
    <col min="1548" max="1548" width="22.5703125" customWidth="1"/>
    <col min="1788" max="1788" width="19.5703125" customWidth="1"/>
    <col min="1789" max="1789" width="52.7109375" customWidth="1"/>
    <col min="1794" max="1794" width="11.140625" customWidth="1"/>
    <col min="1795" max="1795" width="14.7109375" customWidth="1"/>
    <col min="1796" max="1796" width="21.140625" customWidth="1"/>
    <col min="1797" max="1797" width="14.42578125" customWidth="1"/>
    <col min="1799" max="1799" width="20.5703125" bestFit="1" customWidth="1"/>
    <col min="1800" max="1800" width="17.7109375" customWidth="1"/>
    <col min="1801" max="1801" width="10.42578125" customWidth="1"/>
    <col min="1802" max="1802" width="8.42578125" customWidth="1"/>
    <col min="1803" max="1803" width="6.42578125" customWidth="1"/>
    <col min="1804" max="1804" width="22.5703125" customWidth="1"/>
    <col min="2044" max="2044" width="19.5703125" customWidth="1"/>
    <col min="2045" max="2045" width="52.7109375" customWidth="1"/>
    <col min="2050" max="2050" width="11.140625" customWidth="1"/>
    <col min="2051" max="2051" width="14.7109375" customWidth="1"/>
    <col min="2052" max="2052" width="21.140625" customWidth="1"/>
    <col min="2053" max="2053" width="14.42578125" customWidth="1"/>
    <col min="2055" max="2055" width="20.5703125" bestFit="1" customWidth="1"/>
    <col min="2056" max="2056" width="17.7109375" customWidth="1"/>
    <col min="2057" max="2057" width="10.42578125" customWidth="1"/>
    <col min="2058" max="2058" width="8.42578125" customWidth="1"/>
    <col min="2059" max="2059" width="6.42578125" customWidth="1"/>
    <col min="2060" max="2060" width="22.5703125" customWidth="1"/>
    <col min="2300" max="2300" width="19.5703125" customWidth="1"/>
    <col min="2301" max="2301" width="52.7109375" customWidth="1"/>
    <col min="2306" max="2306" width="11.140625" customWidth="1"/>
    <col min="2307" max="2307" width="14.7109375" customWidth="1"/>
    <col min="2308" max="2308" width="21.140625" customWidth="1"/>
    <col min="2309" max="2309" width="14.42578125" customWidth="1"/>
    <col min="2311" max="2311" width="20.5703125" bestFit="1" customWidth="1"/>
    <col min="2312" max="2312" width="17.7109375" customWidth="1"/>
    <col min="2313" max="2313" width="10.42578125" customWidth="1"/>
    <col min="2314" max="2314" width="8.42578125" customWidth="1"/>
    <col min="2315" max="2315" width="6.42578125" customWidth="1"/>
    <col min="2316" max="2316" width="22.5703125" customWidth="1"/>
    <col min="2556" max="2556" width="19.5703125" customWidth="1"/>
    <col min="2557" max="2557" width="52.7109375" customWidth="1"/>
    <col min="2562" max="2562" width="11.140625" customWidth="1"/>
    <col min="2563" max="2563" width="14.7109375" customWidth="1"/>
    <col min="2564" max="2564" width="21.140625" customWidth="1"/>
    <col min="2565" max="2565" width="14.42578125" customWidth="1"/>
    <col min="2567" max="2567" width="20.5703125" bestFit="1" customWidth="1"/>
    <col min="2568" max="2568" width="17.7109375" customWidth="1"/>
    <col min="2569" max="2569" width="10.42578125" customWidth="1"/>
    <col min="2570" max="2570" width="8.42578125" customWidth="1"/>
    <col min="2571" max="2571" width="6.42578125" customWidth="1"/>
    <col min="2572" max="2572" width="22.5703125" customWidth="1"/>
    <col min="2812" max="2812" width="19.5703125" customWidth="1"/>
    <col min="2813" max="2813" width="52.7109375" customWidth="1"/>
    <col min="2818" max="2818" width="11.140625" customWidth="1"/>
    <col min="2819" max="2819" width="14.7109375" customWidth="1"/>
    <col min="2820" max="2820" width="21.140625" customWidth="1"/>
    <col min="2821" max="2821" width="14.42578125" customWidth="1"/>
    <col min="2823" max="2823" width="20.5703125" bestFit="1" customWidth="1"/>
    <col min="2824" max="2824" width="17.7109375" customWidth="1"/>
    <col min="2825" max="2825" width="10.42578125" customWidth="1"/>
    <col min="2826" max="2826" width="8.42578125" customWidth="1"/>
    <col min="2827" max="2827" width="6.42578125" customWidth="1"/>
    <col min="2828" max="2828" width="22.5703125" customWidth="1"/>
    <col min="3068" max="3068" width="19.5703125" customWidth="1"/>
    <col min="3069" max="3069" width="52.7109375" customWidth="1"/>
    <col min="3074" max="3074" width="11.140625" customWidth="1"/>
    <col min="3075" max="3075" width="14.7109375" customWidth="1"/>
    <col min="3076" max="3076" width="21.140625" customWidth="1"/>
    <col min="3077" max="3077" width="14.42578125" customWidth="1"/>
    <col min="3079" max="3079" width="20.5703125" bestFit="1" customWidth="1"/>
    <col min="3080" max="3080" width="17.7109375" customWidth="1"/>
    <col min="3081" max="3081" width="10.42578125" customWidth="1"/>
    <col min="3082" max="3082" width="8.42578125" customWidth="1"/>
    <col min="3083" max="3083" width="6.42578125" customWidth="1"/>
    <col min="3084" max="3084" width="22.5703125" customWidth="1"/>
    <col min="3324" max="3324" width="19.5703125" customWidth="1"/>
    <col min="3325" max="3325" width="52.7109375" customWidth="1"/>
    <col min="3330" max="3330" width="11.140625" customWidth="1"/>
    <col min="3331" max="3331" width="14.7109375" customWidth="1"/>
    <col min="3332" max="3332" width="21.140625" customWidth="1"/>
    <col min="3333" max="3333" width="14.42578125" customWidth="1"/>
    <col min="3335" max="3335" width="20.5703125" bestFit="1" customWidth="1"/>
    <col min="3336" max="3336" width="17.7109375" customWidth="1"/>
    <col min="3337" max="3337" width="10.42578125" customWidth="1"/>
    <col min="3338" max="3338" width="8.42578125" customWidth="1"/>
    <col min="3339" max="3339" width="6.42578125" customWidth="1"/>
    <col min="3340" max="3340" width="22.5703125" customWidth="1"/>
    <col min="3580" max="3580" width="19.5703125" customWidth="1"/>
    <col min="3581" max="3581" width="52.7109375" customWidth="1"/>
    <col min="3586" max="3586" width="11.140625" customWidth="1"/>
    <col min="3587" max="3587" width="14.7109375" customWidth="1"/>
    <col min="3588" max="3588" width="21.140625" customWidth="1"/>
    <col min="3589" max="3589" width="14.42578125" customWidth="1"/>
    <col min="3591" max="3591" width="20.5703125" bestFit="1" customWidth="1"/>
    <col min="3592" max="3592" width="17.7109375" customWidth="1"/>
    <col min="3593" max="3593" width="10.42578125" customWidth="1"/>
    <col min="3594" max="3594" width="8.42578125" customWidth="1"/>
    <col min="3595" max="3595" width="6.42578125" customWidth="1"/>
    <col min="3596" max="3596" width="22.5703125" customWidth="1"/>
    <col min="3836" max="3836" width="19.5703125" customWidth="1"/>
    <col min="3837" max="3837" width="52.7109375" customWidth="1"/>
    <col min="3842" max="3842" width="11.140625" customWidth="1"/>
    <col min="3843" max="3843" width="14.7109375" customWidth="1"/>
    <col min="3844" max="3844" width="21.140625" customWidth="1"/>
    <col min="3845" max="3845" width="14.42578125" customWidth="1"/>
    <col min="3847" max="3847" width="20.5703125" bestFit="1" customWidth="1"/>
    <col min="3848" max="3848" width="17.7109375" customWidth="1"/>
    <col min="3849" max="3849" width="10.42578125" customWidth="1"/>
    <col min="3850" max="3850" width="8.42578125" customWidth="1"/>
    <col min="3851" max="3851" width="6.42578125" customWidth="1"/>
    <col min="3852" max="3852" width="22.5703125" customWidth="1"/>
    <col min="4092" max="4092" width="19.5703125" customWidth="1"/>
    <col min="4093" max="4093" width="52.7109375" customWidth="1"/>
    <col min="4098" max="4098" width="11.140625" customWidth="1"/>
    <col min="4099" max="4099" width="14.7109375" customWidth="1"/>
    <col min="4100" max="4100" width="21.140625" customWidth="1"/>
    <col min="4101" max="4101" width="14.42578125" customWidth="1"/>
    <col min="4103" max="4103" width="20.5703125" bestFit="1" customWidth="1"/>
    <col min="4104" max="4104" width="17.7109375" customWidth="1"/>
    <col min="4105" max="4105" width="10.42578125" customWidth="1"/>
    <col min="4106" max="4106" width="8.42578125" customWidth="1"/>
    <col min="4107" max="4107" width="6.42578125" customWidth="1"/>
    <col min="4108" max="4108" width="22.5703125" customWidth="1"/>
    <col min="4348" max="4348" width="19.5703125" customWidth="1"/>
    <col min="4349" max="4349" width="52.7109375" customWidth="1"/>
    <col min="4354" max="4354" width="11.140625" customWidth="1"/>
    <col min="4355" max="4355" width="14.7109375" customWidth="1"/>
    <col min="4356" max="4356" width="21.140625" customWidth="1"/>
    <col min="4357" max="4357" width="14.42578125" customWidth="1"/>
    <col min="4359" max="4359" width="20.5703125" bestFit="1" customWidth="1"/>
    <col min="4360" max="4360" width="17.7109375" customWidth="1"/>
    <col min="4361" max="4361" width="10.42578125" customWidth="1"/>
    <col min="4362" max="4362" width="8.42578125" customWidth="1"/>
    <col min="4363" max="4363" width="6.42578125" customWidth="1"/>
    <col min="4364" max="4364" width="22.5703125" customWidth="1"/>
    <col min="4604" max="4604" width="19.5703125" customWidth="1"/>
    <col min="4605" max="4605" width="52.7109375" customWidth="1"/>
    <col min="4610" max="4610" width="11.140625" customWidth="1"/>
    <col min="4611" max="4611" width="14.7109375" customWidth="1"/>
    <col min="4612" max="4612" width="21.140625" customWidth="1"/>
    <col min="4613" max="4613" width="14.42578125" customWidth="1"/>
    <col min="4615" max="4615" width="20.5703125" bestFit="1" customWidth="1"/>
    <col min="4616" max="4616" width="17.7109375" customWidth="1"/>
    <col min="4617" max="4617" width="10.42578125" customWidth="1"/>
    <col min="4618" max="4618" width="8.42578125" customWidth="1"/>
    <col min="4619" max="4619" width="6.42578125" customWidth="1"/>
    <col min="4620" max="4620" width="22.5703125" customWidth="1"/>
    <col min="4860" max="4860" width="19.5703125" customWidth="1"/>
    <col min="4861" max="4861" width="52.7109375" customWidth="1"/>
    <col min="4866" max="4866" width="11.140625" customWidth="1"/>
    <col min="4867" max="4867" width="14.7109375" customWidth="1"/>
    <col min="4868" max="4868" width="21.140625" customWidth="1"/>
    <col min="4869" max="4869" width="14.42578125" customWidth="1"/>
    <col min="4871" max="4871" width="20.5703125" bestFit="1" customWidth="1"/>
    <col min="4872" max="4872" width="17.7109375" customWidth="1"/>
    <col min="4873" max="4873" width="10.42578125" customWidth="1"/>
    <col min="4874" max="4874" width="8.42578125" customWidth="1"/>
    <col min="4875" max="4875" width="6.42578125" customWidth="1"/>
    <col min="4876" max="4876" width="22.5703125" customWidth="1"/>
    <col min="5116" max="5116" width="19.5703125" customWidth="1"/>
    <col min="5117" max="5117" width="52.7109375" customWidth="1"/>
    <col min="5122" max="5122" width="11.140625" customWidth="1"/>
    <col min="5123" max="5123" width="14.7109375" customWidth="1"/>
    <col min="5124" max="5124" width="21.140625" customWidth="1"/>
    <col min="5125" max="5125" width="14.42578125" customWidth="1"/>
    <col min="5127" max="5127" width="20.5703125" bestFit="1" customWidth="1"/>
    <col min="5128" max="5128" width="17.7109375" customWidth="1"/>
    <col min="5129" max="5129" width="10.42578125" customWidth="1"/>
    <col min="5130" max="5130" width="8.42578125" customWidth="1"/>
    <col min="5131" max="5131" width="6.42578125" customWidth="1"/>
    <col min="5132" max="5132" width="22.5703125" customWidth="1"/>
    <col min="5372" max="5372" width="19.5703125" customWidth="1"/>
    <col min="5373" max="5373" width="52.7109375" customWidth="1"/>
    <col min="5378" max="5378" width="11.140625" customWidth="1"/>
    <col min="5379" max="5379" width="14.7109375" customWidth="1"/>
    <col min="5380" max="5380" width="21.140625" customWidth="1"/>
    <col min="5381" max="5381" width="14.42578125" customWidth="1"/>
    <col min="5383" max="5383" width="20.5703125" bestFit="1" customWidth="1"/>
    <col min="5384" max="5384" width="17.7109375" customWidth="1"/>
    <col min="5385" max="5385" width="10.42578125" customWidth="1"/>
    <col min="5386" max="5386" width="8.42578125" customWidth="1"/>
    <col min="5387" max="5387" width="6.42578125" customWidth="1"/>
    <col min="5388" max="5388" width="22.5703125" customWidth="1"/>
    <col min="5628" max="5628" width="19.5703125" customWidth="1"/>
    <col min="5629" max="5629" width="52.7109375" customWidth="1"/>
    <col min="5634" max="5634" width="11.140625" customWidth="1"/>
    <col min="5635" max="5635" width="14.7109375" customWidth="1"/>
    <col min="5636" max="5636" width="21.140625" customWidth="1"/>
    <col min="5637" max="5637" width="14.42578125" customWidth="1"/>
    <col min="5639" max="5639" width="20.5703125" bestFit="1" customWidth="1"/>
    <col min="5640" max="5640" width="17.7109375" customWidth="1"/>
    <col min="5641" max="5641" width="10.42578125" customWidth="1"/>
    <col min="5642" max="5642" width="8.42578125" customWidth="1"/>
    <col min="5643" max="5643" width="6.42578125" customWidth="1"/>
    <col min="5644" max="5644" width="22.5703125" customWidth="1"/>
    <col min="5884" max="5884" width="19.5703125" customWidth="1"/>
    <col min="5885" max="5885" width="52.7109375" customWidth="1"/>
    <col min="5890" max="5890" width="11.140625" customWidth="1"/>
    <col min="5891" max="5891" width="14.7109375" customWidth="1"/>
    <col min="5892" max="5892" width="21.140625" customWidth="1"/>
    <col min="5893" max="5893" width="14.42578125" customWidth="1"/>
    <col min="5895" max="5895" width="20.5703125" bestFit="1" customWidth="1"/>
    <col min="5896" max="5896" width="17.7109375" customWidth="1"/>
    <col min="5897" max="5897" width="10.42578125" customWidth="1"/>
    <col min="5898" max="5898" width="8.42578125" customWidth="1"/>
    <col min="5899" max="5899" width="6.42578125" customWidth="1"/>
    <col min="5900" max="5900" width="22.5703125" customWidth="1"/>
    <col min="6140" max="6140" width="19.5703125" customWidth="1"/>
    <col min="6141" max="6141" width="52.7109375" customWidth="1"/>
    <col min="6146" max="6146" width="11.140625" customWidth="1"/>
    <col min="6147" max="6147" width="14.7109375" customWidth="1"/>
    <col min="6148" max="6148" width="21.140625" customWidth="1"/>
    <col min="6149" max="6149" width="14.42578125" customWidth="1"/>
    <col min="6151" max="6151" width="20.5703125" bestFit="1" customWidth="1"/>
    <col min="6152" max="6152" width="17.7109375" customWidth="1"/>
    <col min="6153" max="6153" width="10.42578125" customWidth="1"/>
    <col min="6154" max="6154" width="8.42578125" customWidth="1"/>
    <col min="6155" max="6155" width="6.42578125" customWidth="1"/>
    <col min="6156" max="6156" width="22.5703125" customWidth="1"/>
    <col min="6396" max="6396" width="19.5703125" customWidth="1"/>
    <col min="6397" max="6397" width="52.7109375" customWidth="1"/>
    <col min="6402" max="6402" width="11.140625" customWidth="1"/>
    <col min="6403" max="6403" width="14.7109375" customWidth="1"/>
    <col min="6404" max="6404" width="21.140625" customWidth="1"/>
    <col min="6405" max="6405" width="14.42578125" customWidth="1"/>
    <col min="6407" max="6407" width="20.5703125" bestFit="1" customWidth="1"/>
    <col min="6408" max="6408" width="17.7109375" customWidth="1"/>
    <col min="6409" max="6409" width="10.42578125" customWidth="1"/>
    <col min="6410" max="6410" width="8.42578125" customWidth="1"/>
    <col min="6411" max="6411" width="6.42578125" customWidth="1"/>
    <col min="6412" max="6412" width="22.5703125" customWidth="1"/>
    <col min="6652" max="6652" width="19.5703125" customWidth="1"/>
    <col min="6653" max="6653" width="52.7109375" customWidth="1"/>
    <col min="6658" max="6658" width="11.140625" customWidth="1"/>
    <col min="6659" max="6659" width="14.7109375" customWidth="1"/>
    <col min="6660" max="6660" width="21.140625" customWidth="1"/>
    <col min="6661" max="6661" width="14.42578125" customWidth="1"/>
    <col min="6663" max="6663" width="20.5703125" bestFit="1" customWidth="1"/>
    <col min="6664" max="6664" width="17.7109375" customWidth="1"/>
    <col min="6665" max="6665" width="10.42578125" customWidth="1"/>
    <col min="6666" max="6666" width="8.42578125" customWidth="1"/>
    <col min="6667" max="6667" width="6.42578125" customWidth="1"/>
    <col min="6668" max="6668" width="22.5703125" customWidth="1"/>
    <col min="6908" max="6908" width="19.5703125" customWidth="1"/>
    <col min="6909" max="6909" width="52.7109375" customWidth="1"/>
    <col min="6914" max="6914" width="11.140625" customWidth="1"/>
    <col min="6915" max="6915" width="14.7109375" customWidth="1"/>
    <col min="6916" max="6916" width="21.140625" customWidth="1"/>
    <col min="6917" max="6917" width="14.42578125" customWidth="1"/>
    <col min="6919" max="6919" width="20.5703125" bestFit="1" customWidth="1"/>
    <col min="6920" max="6920" width="17.7109375" customWidth="1"/>
    <col min="6921" max="6921" width="10.42578125" customWidth="1"/>
    <col min="6922" max="6922" width="8.42578125" customWidth="1"/>
    <col min="6923" max="6923" width="6.42578125" customWidth="1"/>
    <col min="6924" max="6924" width="22.5703125" customWidth="1"/>
    <col min="7164" max="7164" width="19.5703125" customWidth="1"/>
    <col min="7165" max="7165" width="52.7109375" customWidth="1"/>
    <col min="7170" max="7170" width="11.140625" customWidth="1"/>
    <col min="7171" max="7171" width="14.7109375" customWidth="1"/>
    <col min="7172" max="7172" width="21.140625" customWidth="1"/>
    <col min="7173" max="7173" width="14.42578125" customWidth="1"/>
    <col min="7175" max="7175" width="20.5703125" bestFit="1" customWidth="1"/>
    <col min="7176" max="7176" width="17.7109375" customWidth="1"/>
    <col min="7177" max="7177" width="10.42578125" customWidth="1"/>
    <col min="7178" max="7178" width="8.42578125" customWidth="1"/>
    <col min="7179" max="7179" width="6.42578125" customWidth="1"/>
    <col min="7180" max="7180" width="22.5703125" customWidth="1"/>
    <col min="7420" max="7420" width="19.5703125" customWidth="1"/>
    <col min="7421" max="7421" width="52.7109375" customWidth="1"/>
    <col min="7426" max="7426" width="11.140625" customWidth="1"/>
    <col min="7427" max="7427" width="14.7109375" customWidth="1"/>
    <col min="7428" max="7428" width="21.140625" customWidth="1"/>
    <col min="7429" max="7429" width="14.42578125" customWidth="1"/>
    <col min="7431" max="7431" width="20.5703125" bestFit="1" customWidth="1"/>
    <col min="7432" max="7432" width="17.7109375" customWidth="1"/>
    <col min="7433" max="7433" width="10.42578125" customWidth="1"/>
    <col min="7434" max="7434" width="8.42578125" customWidth="1"/>
    <col min="7435" max="7435" width="6.42578125" customWidth="1"/>
    <col min="7436" max="7436" width="22.5703125" customWidth="1"/>
    <col min="7676" max="7676" width="19.5703125" customWidth="1"/>
    <col min="7677" max="7677" width="52.7109375" customWidth="1"/>
    <col min="7682" max="7682" width="11.140625" customWidth="1"/>
    <col min="7683" max="7683" width="14.7109375" customWidth="1"/>
    <col min="7684" max="7684" width="21.140625" customWidth="1"/>
    <col min="7685" max="7685" width="14.42578125" customWidth="1"/>
    <col min="7687" max="7687" width="20.5703125" bestFit="1" customWidth="1"/>
    <col min="7688" max="7688" width="17.7109375" customWidth="1"/>
    <col min="7689" max="7689" width="10.42578125" customWidth="1"/>
    <col min="7690" max="7690" width="8.42578125" customWidth="1"/>
    <col min="7691" max="7691" width="6.42578125" customWidth="1"/>
    <col min="7692" max="7692" width="22.5703125" customWidth="1"/>
    <col min="7932" max="7932" width="19.5703125" customWidth="1"/>
    <col min="7933" max="7933" width="52.7109375" customWidth="1"/>
    <col min="7938" max="7938" width="11.140625" customWidth="1"/>
    <col min="7939" max="7939" width="14.7109375" customWidth="1"/>
    <col min="7940" max="7940" width="21.140625" customWidth="1"/>
    <col min="7941" max="7941" width="14.42578125" customWidth="1"/>
    <col min="7943" max="7943" width="20.5703125" bestFit="1" customWidth="1"/>
    <col min="7944" max="7944" width="17.7109375" customWidth="1"/>
    <col min="7945" max="7945" width="10.42578125" customWidth="1"/>
    <col min="7946" max="7946" width="8.42578125" customWidth="1"/>
    <col min="7947" max="7947" width="6.42578125" customWidth="1"/>
    <col min="7948" max="7948" width="22.5703125" customWidth="1"/>
    <col min="8188" max="8188" width="19.5703125" customWidth="1"/>
    <col min="8189" max="8189" width="52.7109375" customWidth="1"/>
    <col min="8194" max="8194" width="11.140625" customWidth="1"/>
    <col min="8195" max="8195" width="14.7109375" customWidth="1"/>
    <col min="8196" max="8196" width="21.140625" customWidth="1"/>
    <col min="8197" max="8197" width="14.42578125" customWidth="1"/>
    <col min="8199" max="8199" width="20.5703125" bestFit="1" customWidth="1"/>
    <col min="8200" max="8200" width="17.7109375" customWidth="1"/>
    <col min="8201" max="8201" width="10.42578125" customWidth="1"/>
    <col min="8202" max="8202" width="8.42578125" customWidth="1"/>
    <col min="8203" max="8203" width="6.42578125" customWidth="1"/>
    <col min="8204" max="8204" width="22.5703125" customWidth="1"/>
    <col min="8444" max="8444" width="19.5703125" customWidth="1"/>
    <col min="8445" max="8445" width="52.7109375" customWidth="1"/>
    <col min="8450" max="8450" width="11.140625" customWidth="1"/>
    <col min="8451" max="8451" width="14.7109375" customWidth="1"/>
    <col min="8452" max="8452" width="21.140625" customWidth="1"/>
    <col min="8453" max="8453" width="14.42578125" customWidth="1"/>
    <col min="8455" max="8455" width="20.5703125" bestFit="1" customWidth="1"/>
    <col min="8456" max="8456" width="17.7109375" customWidth="1"/>
    <col min="8457" max="8457" width="10.42578125" customWidth="1"/>
    <col min="8458" max="8458" width="8.42578125" customWidth="1"/>
    <col min="8459" max="8459" width="6.42578125" customWidth="1"/>
    <col min="8460" max="8460" width="22.5703125" customWidth="1"/>
    <col min="8700" max="8700" width="19.5703125" customWidth="1"/>
    <col min="8701" max="8701" width="52.7109375" customWidth="1"/>
    <col min="8706" max="8706" width="11.140625" customWidth="1"/>
    <col min="8707" max="8707" width="14.7109375" customWidth="1"/>
    <col min="8708" max="8708" width="21.140625" customWidth="1"/>
    <col min="8709" max="8709" width="14.42578125" customWidth="1"/>
    <col min="8711" max="8711" width="20.5703125" bestFit="1" customWidth="1"/>
    <col min="8712" max="8712" width="17.7109375" customWidth="1"/>
    <col min="8713" max="8713" width="10.42578125" customWidth="1"/>
    <col min="8714" max="8714" width="8.42578125" customWidth="1"/>
    <col min="8715" max="8715" width="6.42578125" customWidth="1"/>
    <col min="8716" max="8716" width="22.5703125" customWidth="1"/>
    <col min="8956" max="8956" width="19.5703125" customWidth="1"/>
    <col min="8957" max="8957" width="52.7109375" customWidth="1"/>
    <col min="8962" max="8962" width="11.140625" customWidth="1"/>
    <col min="8963" max="8963" width="14.7109375" customWidth="1"/>
    <col min="8964" max="8964" width="21.140625" customWidth="1"/>
    <col min="8965" max="8965" width="14.42578125" customWidth="1"/>
    <col min="8967" max="8967" width="20.5703125" bestFit="1" customWidth="1"/>
    <col min="8968" max="8968" width="17.7109375" customWidth="1"/>
    <col min="8969" max="8969" width="10.42578125" customWidth="1"/>
    <col min="8970" max="8970" width="8.42578125" customWidth="1"/>
    <col min="8971" max="8971" width="6.42578125" customWidth="1"/>
    <col min="8972" max="8972" width="22.5703125" customWidth="1"/>
    <col min="9212" max="9212" width="19.5703125" customWidth="1"/>
    <col min="9213" max="9213" width="52.7109375" customWidth="1"/>
    <col min="9218" max="9218" width="11.140625" customWidth="1"/>
    <col min="9219" max="9219" width="14.7109375" customWidth="1"/>
    <col min="9220" max="9220" width="21.140625" customWidth="1"/>
    <col min="9221" max="9221" width="14.42578125" customWidth="1"/>
    <col min="9223" max="9223" width="20.5703125" bestFit="1" customWidth="1"/>
    <col min="9224" max="9224" width="17.7109375" customWidth="1"/>
    <col min="9225" max="9225" width="10.42578125" customWidth="1"/>
    <col min="9226" max="9226" width="8.42578125" customWidth="1"/>
    <col min="9227" max="9227" width="6.42578125" customWidth="1"/>
    <col min="9228" max="9228" width="22.5703125" customWidth="1"/>
    <col min="9468" max="9468" width="19.5703125" customWidth="1"/>
    <col min="9469" max="9469" width="52.7109375" customWidth="1"/>
    <col min="9474" max="9474" width="11.140625" customWidth="1"/>
    <col min="9475" max="9475" width="14.7109375" customWidth="1"/>
    <col min="9476" max="9476" width="21.140625" customWidth="1"/>
    <col min="9477" max="9477" width="14.42578125" customWidth="1"/>
    <col min="9479" max="9479" width="20.5703125" bestFit="1" customWidth="1"/>
    <col min="9480" max="9480" width="17.7109375" customWidth="1"/>
    <col min="9481" max="9481" width="10.42578125" customWidth="1"/>
    <col min="9482" max="9482" width="8.42578125" customWidth="1"/>
    <col min="9483" max="9483" width="6.42578125" customWidth="1"/>
    <col min="9484" max="9484" width="22.5703125" customWidth="1"/>
    <col min="9724" max="9724" width="19.5703125" customWidth="1"/>
    <col min="9725" max="9725" width="52.7109375" customWidth="1"/>
    <col min="9730" max="9730" width="11.140625" customWidth="1"/>
    <col min="9731" max="9731" width="14.7109375" customWidth="1"/>
    <col min="9732" max="9732" width="21.140625" customWidth="1"/>
    <col min="9733" max="9733" width="14.42578125" customWidth="1"/>
    <col min="9735" max="9735" width="20.5703125" bestFit="1" customWidth="1"/>
    <col min="9736" max="9736" width="17.7109375" customWidth="1"/>
    <col min="9737" max="9737" width="10.42578125" customWidth="1"/>
    <col min="9738" max="9738" width="8.42578125" customWidth="1"/>
    <col min="9739" max="9739" width="6.42578125" customWidth="1"/>
    <col min="9740" max="9740" width="22.5703125" customWidth="1"/>
    <col min="9980" max="9980" width="19.5703125" customWidth="1"/>
    <col min="9981" max="9981" width="52.7109375" customWidth="1"/>
    <col min="9986" max="9986" width="11.140625" customWidth="1"/>
    <col min="9987" max="9987" width="14.7109375" customWidth="1"/>
    <col min="9988" max="9988" width="21.140625" customWidth="1"/>
    <col min="9989" max="9989" width="14.42578125" customWidth="1"/>
    <col min="9991" max="9991" width="20.5703125" bestFit="1" customWidth="1"/>
    <col min="9992" max="9992" width="17.7109375" customWidth="1"/>
    <col min="9993" max="9993" width="10.42578125" customWidth="1"/>
    <col min="9994" max="9994" width="8.42578125" customWidth="1"/>
    <col min="9995" max="9995" width="6.42578125" customWidth="1"/>
    <col min="9996" max="9996" width="22.5703125" customWidth="1"/>
    <col min="10236" max="10236" width="19.5703125" customWidth="1"/>
    <col min="10237" max="10237" width="52.7109375" customWidth="1"/>
    <col min="10242" max="10242" width="11.140625" customWidth="1"/>
    <col min="10243" max="10243" width="14.7109375" customWidth="1"/>
    <col min="10244" max="10244" width="21.140625" customWidth="1"/>
    <col min="10245" max="10245" width="14.42578125" customWidth="1"/>
    <col min="10247" max="10247" width="20.5703125" bestFit="1" customWidth="1"/>
    <col min="10248" max="10248" width="17.7109375" customWidth="1"/>
    <col min="10249" max="10249" width="10.42578125" customWidth="1"/>
    <col min="10250" max="10250" width="8.42578125" customWidth="1"/>
    <col min="10251" max="10251" width="6.42578125" customWidth="1"/>
    <col min="10252" max="10252" width="22.5703125" customWidth="1"/>
    <col min="10492" max="10492" width="19.5703125" customWidth="1"/>
    <col min="10493" max="10493" width="52.7109375" customWidth="1"/>
    <col min="10498" max="10498" width="11.140625" customWidth="1"/>
    <col min="10499" max="10499" width="14.7109375" customWidth="1"/>
    <col min="10500" max="10500" width="21.140625" customWidth="1"/>
    <col min="10501" max="10501" width="14.42578125" customWidth="1"/>
    <col min="10503" max="10503" width="20.5703125" bestFit="1" customWidth="1"/>
    <col min="10504" max="10504" width="17.7109375" customWidth="1"/>
    <col min="10505" max="10505" width="10.42578125" customWidth="1"/>
    <col min="10506" max="10506" width="8.42578125" customWidth="1"/>
    <col min="10507" max="10507" width="6.42578125" customWidth="1"/>
    <col min="10508" max="10508" width="22.5703125" customWidth="1"/>
    <col min="10748" max="10748" width="19.5703125" customWidth="1"/>
    <col min="10749" max="10749" width="52.7109375" customWidth="1"/>
    <col min="10754" max="10754" width="11.140625" customWidth="1"/>
    <col min="10755" max="10755" width="14.7109375" customWidth="1"/>
    <col min="10756" max="10756" width="21.140625" customWidth="1"/>
    <col min="10757" max="10757" width="14.42578125" customWidth="1"/>
    <col min="10759" max="10759" width="20.5703125" bestFit="1" customWidth="1"/>
    <col min="10760" max="10760" width="17.7109375" customWidth="1"/>
    <col min="10761" max="10761" width="10.42578125" customWidth="1"/>
    <col min="10762" max="10762" width="8.42578125" customWidth="1"/>
    <col min="10763" max="10763" width="6.42578125" customWidth="1"/>
    <col min="10764" max="10764" width="22.5703125" customWidth="1"/>
    <col min="11004" max="11004" width="19.5703125" customWidth="1"/>
    <col min="11005" max="11005" width="52.7109375" customWidth="1"/>
    <col min="11010" max="11010" width="11.140625" customWidth="1"/>
    <col min="11011" max="11011" width="14.7109375" customWidth="1"/>
    <col min="11012" max="11012" width="21.140625" customWidth="1"/>
    <col min="11013" max="11013" width="14.42578125" customWidth="1"/>
    <col min="11015" max="11015" width="20.5703125" bestFit="1" customWidth="1"/>
    <col min="11016" max="11016" width="17.7109375" customWidth="1"/>
    <col min="11017" max="11017" width="10.42578125" customWidth="1"/>
    <col min="11018" max="11018" width="8.42578125" customWidth="1"/>
    <col min="11019" max="11019" width="6.42578125" customWidth="1"/>
    <col min="11020" max="11020" width="22.5703125" customWidth="1"/>
    <col min="11260" max="11260" width="19.5703125" customWidth="1"/>
    <col min="11261" max="11261" width="52.7109375" customWidth="1"/>
    <col min="11266" max="11266" width="11.140625" customWidth="1"/>
    <col min="11267" max="11267" width="14.7109375" customWidth="1"/>
    <col min="11268" max="11268" width="21.140625" customWidth="1"/>
    <col min="11269" max="11269" width="14.42578125" customWidth="1"/>
    <col min="11271" max="11271" width="20.5703125" bestFit="1" customWidth="1"/>
    <col min="11272" max="11272" width="17.7109375" customWidth="1"/>
    <col min="11273" max="11273" width="10.42578125" customWidth="1"/>
    <col min="11274" max="11274" width="8.42578125" customWidth="1"/>
    <col min="11275" max="11275" width="6.42578125" customWidth="1"/>
    <col min="11276" max="11276" width="22.5703125" customWidth="1"/>
    <col min="11516" max="11516" width="19.5703125" customWidth="1"/>
    <col min="11517" max="11517" width="52.7109375" customWidth="1"/>
    <col min="11522" max="11522" width="11.140625" customWidth="1"/>
    <col min="11523" max="11523" width="14.7109375" customWidth="1"/>
    <col min="11524" max="11524" width="21.140625" customWidth="1"/>
    <col min="11525" max="11525" width="14.42578125" customWidth="1"/>
    <col min="11527" max="11527" width="20.5703125" bestFit="1" customWidth="1"/>
    <col min="11528" max="11528" width="17.7109375" customWidth="1"/>
    <col min="11529" max="11529" width="10.42578125" customWidth="1"/>
    <col min="11530" max="11530" width="8.42578125" customWidth="1"/>
    <col min="11531" max="11531" width="6.42578125" customWidth="1"/>
    <col min="11532" max="11532" width="22.5703125" customWidth="1"/>
    <col min="11772" max="11772" width="19.5703125" customWidth="1"/>
    <col min="11773" max="11773" width="52.7109375" customWidth="1"/>
    <col min="11778" max="11778" width="11.140625" customWidth="1"/>
    <col min="11779" max="11779" width="14.7109375" customWidth="1"/>
    <col min="11780" max="11780" width="21.140625" customWidth="1"/>
    <col min="11781" max="11781" width="14.42578125" customWidth="1"/>
    <col min="11783" max="11783" width="20.5703125" bestFit="1" customWidth="1"/>
    <col min="11784" max="11784" width="17.7109375" customWidth="1"/>
    <col min="11785" max="11785" width="10.42578125" customWidth="1"/>
    <col min="11786" max="11786" width="8.42578125" customWidth="1"/>
    <col min="11787" max="11787" width="6.42578125" customWidth="1"/>
    <col min="11788" max="11788" width="22.5703125" customWidth="1"/>
    <col min="12028" max="12028" width="19.5703125" customWidth="1"/>
    <col min="12029" max="12029" width="52.7109375" customWidth="1"/>
    <col min="12034" max="12034" width="11.140625" customWidth="1"/>
    <col min="12035" max="12035" width="14.7109375" customWidth="1"/>
    <col min="12036" max="12036" width="21.140625" customWidth="1"/>
    <col min="12037" max="12037" width="14.42578125" customWidth="1"/>
    <col min="12039" max="12039" width="20.5703125" bestFit="1" customWidth="1"/>
    <col min="12040" max="12040" width="17.7109375" customWidth="1"/>
    <col min="12041" max="12041" width="10.42578125" customWidth="1"/>
    <col min="12042" max="12042" width="8.42578125" customWidth="1"/>
    <col min="12043" max="12043" width="6.42578125" customWidth="1"/>
    <col min="12044" max="12044" width="22.5703125" customWidth="1"/>
    <col min="12284" max="12284" width="19.5703125" customWidth="1"/>
    <col min="12285" max="12285" width="52.7109375" customWidth="1"/>
    <col min="12290" max="12290" width="11.140625" customWidth="1"/>
    <col min="12291" max="12291" width="14.7109375" customWidth="1"/>
    <col min="12292" max="12292" width="21.140625" customWidth="1"/>
    <col min="12293" max="12293" width="14.42578125" customWidth="1"/>
    <col min="12295" max="12295" width="20.5703125" bestFit="1" customWidth="1"/>
    <col min="12296" max="12296" width="17.7109375" customWidth="1"/>
    <col min="12297" max="12297" width="10.42578125" customWidth="1"/>
    <col min="12298" max="12298" width="8.42578125" customWidth="1"/>
    <col min="12299" max="12299" width="6.42578125" customWidth="1"/>
    <col min="12300" max="12300" width="22.5703125" customWidth="1"/>
    <col min="12540" max="12540" width="19.5703125" customWidth="1"/>
    <col min="12541" max="12541" width="52.7109375" customWidth="1"/>
    <col min="12546" max="12546" width="11.140625" customWidth="1"/>
    <col min="12547" max="12547" width="14.7109375" customWidth="1"/>
    <col min="12548" max="12548" width="21.140625" customWidth="1"/>
    <col min="12549" max="12549" width="14.42578125" customWidth="1"/>
    <col min="12551" max="12551" width="20.5703125" bestFit="1" customWidth="1"/>
    <col min="12552" max="12552" width="17.7109375" customWidth="1"/>
    <col min="12553" max="12553" width="10.42578125" customWidth="1"/>
    <col min="12554" max="12554" width="8.42578125" customWidth="1"/>
    <col min="12555" max="12555" width="6.42578125" customWidth="1"/>
    <col min="12556" max="12556" width="22.5703125" customWidth="1"/>
    <col min="12796" max="12796" width="19.5703125" customWidth="1"/>
    <col min="12797" max="12797" width="52.7109375" customWidth="1"/>
    <col min="12802" max="12802" width="11.140625" customWidth="1"/>
    <col min="12803" max="12803" width="14.7109375" customWidth="1"/>
    <col min="12804" max="12804" width="21.140625" customWidth="1"/>
    <col min="12805" max="12805" width="14.42578125" customWidth="1"/>
    <col min="12807" max="12807" width="20.5703125" bestFit="1" customWidth="1"/>
    <col min="12808" max="12808" width="17.7109375" customWidth="1"/>
    <col min="12809" max="12809" width="10.42578125" customWidth="1"/>
    <col min="12810" max="12810" width="8.42578125" customWidth="1"/>
    <col min="12811" max="12811" width="6.42578125" customWidth="1"/>
    <col min="12812" max="12812" width="22.5703125" customWidth="1"/>
    <col min="13052" max="13052" width="19.5703125" customWidth="1"/>
    <col min="13053" max="13053" width="52.7109375" customWidth="1"/>
    <col min="13058" max="13058" width="11.140625" customWidth="1"/>
    <col min="13059" max="13059" width="14.7109375" customWidth="1"/>
    <col min="13060" max="13060" width="21.140625" customWidth="1"/>
    <col min="13061" max="13061" width="14.42578125" customWidth="1"/>
    <col min="13063" max="13063" width="20.5703125" bestFit="1" customWidth="1"/>
    <col min="13064" max="13064" width="17.7109375" customWidth="1"/>
    <col min="13065" max="13065" width="10.42578125" customWidth="1"/>
    <col min="13066" max="13066" width="8.42578125" customWidth="1"/>
    <col min="13067" max="13067" width="6.42578125" customWidth="1"/>
    <col min="13068" max="13068" width="22.5703125" customWidth="1"/>
    <col min="13308" max="13308" width="19.5703125" customWidth="1"/>
    <col min="13309" max="13309" width="52.7109375" customWidth="1"/>
    <col min="13314" max="13314" width="11.140625" customWidth="1"/>
    <col min="13315" max="13315" width="14.7109375" customWidth="1"/>
    <col min="13316" max="13316" width="21.140625" customWidth="1"/>
    <col min="13317" max="13317" width="14.42578125" customWidth="1"/>
    <col min="13319" max="13319" width="20.5703125" bestFit="1" customWidth="1"/>
    <col min="13320" max="13320" width="17.7109375" customWidth="1"/>
    <col min="13321" max="13321" width="10.42578125" customWidth="1"/>
    <col min="13322" max="13322" width="8.42578125" customWidth="1"/>
    <col min="13323" max="13323" width="6.42578125" customWidth="1"/>
    <col min="13324" max="13324" width="22.5703125" customWidth="1"/>
    <col min="13564" max="13564" width="19.5703125" customWidth="1"/>
    <col min="13565" max="13565" width="52.7109375" customWidth="1"/>
    <col min="13570" max="13570" width="11.140625" customWidth="1"/>
    <col min="13571" max="13571" width="14.7109375" customWidth="1"/>
    <col min="13572" max="13572" width="21.140625" customWidth="1"/>
    <col min="13573" max="13573" width="14.42578125" customWidth="1"/>
    <col min="13575" max="13575" width="20.5703125" bestFit="1" customWidth="1"/>
    <col min="13576" max="13576" width="17.7109375" customWidth="1"/>
    <col min="13577" max="13577" width="10.42578125" customWidth="1"/>
    <col min="13578" max="13578" width="8.42578125" customWidth="1"/>
    <col min="13579" max="13579" width="6.42578125" customWidth="1"/>
    <col min="13580" max="13580" width="22.5703125" customWidth="1"/>
    <col min="13820" max="13820" width="19.5703125" customWidth="1"/>
    <col min="13821" max="13821" width="52.7109375" customWidth="1"/>
    <col min="13826" max="13826" width="11.140625" customWidth="1"/>
    <col min="13827" max="13827" width="14.7109375" customWidth="1"/>
    <col min="13828" max="13828" width="21.140625" customWidth="1"/>
    <col min="13829" max="13829" width="14.42578125" customWidth="1"/>
    <col min="13831" max="13831" width="20.5703125" bestFit="1" customWidth="1"/>
    <col min="13832" max="13832" width="17.7109375" customWidth="1"/>
    <col min="13833" max="13833" width="10.42578125" customWidth="1"/>
    <col min="13834" max="13834" width="8.42578125" customWidth="1"/>
    <col min="13835" max="13835" width="6.42578125" customWidth="1"/>
    <col min="13836" max="13836" width="22.5703125" customWidth="1"/>
    <col min="14076" max="14076" width="19.5703125" customWidth="1"/>
    <col min="14077" max="14077" width="52.7109375" customWidth="1"/>
    <col min="14082" max="14082" width="11.140625" customWidth="1"/>
    <col min="14083" max="14083" width="14.7109375" customWidth="1"/>
    <col min="14084" max="14084" width="21.140625" customWidth="1"/>
    <col min="14085" max="14085" width="14.42578125" customWidth="1"/>
    <col min="14087" max="14087" width="20.5703125" bestFit="1" customWidth="1"/>
    <col min="14088" max="14088" width="17.7109375" customWidth="1"/>
    <col min="14089" max="14089" width="10.42578125" customWidth="1"/>
    <col min="14090" max="14090" width="8.42578125" customWidth="1"/>
    <col min="14091" max="14091" width="6.42578125" customWidth="1"/>
    <col min="14092" max="14092" width="22.5703125" customWidth="1"/>
    <col min="14332" max="14332" width="19.5703125" customWidth="1"/>
    <col min="14333" max="14333" width="52.7109375" customWidth="1"/>
    <col min="14338" max="14338" width="11.140625" customWidth="1"/>
    <col min="14339" max="14339" width="14.7109375" customWidth="1"/>
    <col min="14340" max="14340" width="21.140625" customWidth="1"/>
    <col min="14341" max="14341" width="14.42578125" customWidth="1"/>
    <col min="14343" max="14343" width="20.5703125" bestFit="1" customWidth="1"/>
    <col min="14344" max="14344" width="17.7109375" customWidth="1"/>
    <col min="14345" max="14345" width="10.42578125" customWidth="1"/>
    <col min="14346" max="14346" width="8.42578125" customWidth="1"/>
    <col min="14347" max="14347" width="6.42578125" customWidth="1"/>
    <col min="14348" max="14348" width="22.5703125" customWidth="1"/>
    <col min="14588" max="14588" width="19.5703125" customWidth="1"/>
    <col min="14589" max="14589" width="52.7109375" customWidth="1"/>
    <col min="14594" max="14594" width="11.140625" customWidth="1"/>
    <col min="14595" max="14595" width="14.7109375" customWidth="1"/>
    <col min="14596" max="14596" width="21.140625" customWidth="1"/>
    <col min="14597" max="14597" width="14.42578125" customWidth="1"/>
    <col min="14599" max="14599" width="20.5703125" bestFit="1" customWidth="1"/>
    <col min="14600" max="14600" width="17.7109375" customWidth="1"/>
    <col min="14601" max="14601" width="10.42578125" customWidth="1"/>
    <col min="14602" max="14602" width="8.42578125" customWidth="1"/>
    <col min="14603" max="14603" width="6.42578125" customWidth="1"/>
    <col min="14604" max="14604" width="22.5703125" customWidth="1"/>
    <col min="14844" max="14844" width="19.5703125" customWidth="1"/>
    <col min="14845" max="14845" width="52.7109375" customWidth="1"/>
    <col min="14850" max="14850" width="11.140625" customWidth="1"/>
    <col min="14851" max="14851" width="14.7109375" customWidth="1"/>
    <col min="14852" max="14852" width="21.140625" customWidth="1"/>
    <col min="14853" max="14853" width="14.42578125" customWidth="1"/>
    <col min="14855" max="14855" width="20.5703125" bestFit="1" customWidth="1"/>
    <col min="14856" max="14856" width="17.7109375" customWidth="1"/>
    <col min="14857" max="14857" width="10.42578125" customWidth="1"/>
    <col min="14858" max="14858" width="8.42578125" customWidth="1"/>
    <col min="14859" max="14859" width="6.42578125" customWidth="1"/>
    <col min="14860" max="14860" width="22.5703125" customWidth="1"/>
    <col min="15100" max="15100" width="19.5703125" customWidth="1"/>
    <col min="15101" max="15101" width="52.7109375" customWidth="1"/>
    <col min="15106" max="15106" width="11.140625" customWidth="1"/>
    <col min="15107" max="15107" width="14.7109375" customWidth="1"/>
    <col min="15108" max="15108" width="21.140625" customWidth="1"/>
    <col min="15109" max="15109" width="14.42578125" customWidth="1"/>
    <col min="15111" max="15111" width="20.5703125" bestFit="1" customWidth="1"/>
    <col min="15112" max="15112" width="17.7109375" customWidth="1"/>
    <col min="15113" max="15113" width="10.42578125" customWidth="1"/>
    <col min="15114" max="15114" width="8.42578125" customWidth="1"/>
    <col min="15115" max="15115" width="6.42578125" customWidth="1"/>
    <col min="15116" max="15116" width="22.5703125" customWidth="1"/>
    <col min="15356" max="15356" width="19.5703125" customWidth="1"/>
    <col min="15357" max="15357" width="52.7109375" customWidth="1"/>
    <col min="15362" max="15362" width="11.140625" customWidth="1"/>
    <col min="15363" max="15363" width="14.7109375" customWidth="1"/>
    <col min="15364" max="15364" width="21.140625" customWidth="1"/>
    <col min="15365" max="15365" width="14.42578125" customWidth="1"/>
    <col min="15367" max="15367" width="20.5703125" bestFit="1" customWidth="1"/>
    <col min="15368" max="15368" width="17.7109375" customWidth="1"/>
    <col min="15369" max="15369" width="10.42578125" customWidth="1"/>
    <col min="15370" max="15370" width="8.42578125" customWidth="1"/>
    <col min="15371" max="15371" width="6.42578125" customWidth="1"/>
    <col min="15372" max="15372" width="22.5703125" customWidth="1"/>
    <col min="15612" max="15612" width="19.5703125" customWidth="1"/>
    <col min="15613" max="15613" width="52.7109375" customWidth="1"/>
    <col min="15618" max="15618" width="11.140625" customWidth="1"/>
    <col min="15619" max="15619" width="14.7109375" customWidth="1"/>
    <col min="15620" max="15620" width="21.140625" customWidth="1"/>
    <col min="15621" max="15621" width="14.42578125" customWidth="1"/>
    <col min="15623" max="15623" width="20.5703125" bestFit="1" customWidth="1"/>
    <col min="15624" max="15624" width="17.7109375" customWidth="1"/>
    <col min="15625" max="15625" width="10.42578125" customWidth="1"/>
    <col min="15626" max="15626" width="8.42578125" customWidth="1"/>
    <col min="15627" max="15627" width="6.42578125" customWidth="1"/>
    <col min="15628" max="15628" width="22.5703125" customWidth="1"/>
    <col min="15868" max="15868" width="19.5703125" customWidth="1"/>
    <col min="15869" max="15869" width="52.7109375" customWidth="1"/>
    <col min="15874" max="15874" width="11.140625" customWidth="1"/>
    <col min="15875" max="15875" width="14.7109375" customWidth="1"/>
    <col min="15876" max="15876" width="21.140625" customWidth="1"/>
    <col min="15877" max="15877" width="14.42578125" customWidth="1"/>
    <col min="15879" max="15879" width="20.5703125" bestFit="1" customWidth="1"/>
    <col min="15880" max="15880" width="17.7109375" customWidth="1"/>
    <col min="15881" max="15881" width="10.42578125" customWidth="1"/>
    <col min="15882" max="15882" width="8.42578125" customWidth="1"/>
    <col min="15883" max="15883" width="6.42578125" customWidth="1"/>
    <col min="15884" max="15884" width="22.5703125" customWidth="1"/>
    <col min="16124" max="16124" width="19.5703125" customWidth="1"/>
    <col min="16125" max="16125" width="52.7109375" customWidth="1"/>
    <col min="16130" max="16130" width="11.140625" customWidth="1"/>
    <col min="16131" max="16131" width="14.7109375" customWidth="1"/>
    <col min="16132" max="16132" width="21.140625" customWidth="1"/>
    <col min="16133" max="16133" width="14.42578125" customWidth="1"/>
    <col min="16135" max="16135" width="20.5703125" bestFit="1" customWidth="1"/>
    <col min="16136" max="16136" width="17.7109375" customWidth="1"/>
    <col min="16137" max="16137" width="10.42578125" customWidth="1"/>
    <col min="16138" max="16138" width="8.42578125" customWidth="1"/>
    <col min="16139" max="16139" width="6.42578125" customWidth="1"/>
    <col min="16140" max="16140" width="22.5703125" customWidth="1"/>
  </cols>
  <sheetData>
    <row r="1" spans="1:20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83" t="s">
        <v>29</v>
      </c>
      <c r="H1" s="83" t="s">
        <v>478</v>
      </c>
      <c r="I1" s="52" t="s">
        <v>388</v>
      </c>
      <c r="J1" s="83" t="s">
        <v>44</v>
      </c>
      <c r="K1" s="83" t="s">
        <v>45</v>
      </c>
      <c r="L1" s="83" t="s">
        <v>46</v>
      </c>
      <c r="M1" s="52" t="s">
        <v>386</v>
      </c>
      <c r="N1" s="83" t="s">
        <v>47</v>
      </c>
      <c r="O1" s="83" t="s">
        <v>48</v>
      </c>
      <c r="P1" s="83" t="s">
        <v>49</v>
      </c>
      <c r="Q1" s="131" t="s">
        <v>479</v>
      </c>
      <c r="R1" s="131" t="s">
        <v>50</v>
      </c>
    </row>
    <row r="2" spans="1:20" ht="18" customHeight="1" x14ac:dyDescent="0.25">
      <c r="A2" s="167" t="s">
        <v>162</v>
      </c>
      <c r="B2" s="86" t="s">
        <v>163</v>
      </c>
      <c r="C2" s="87" t="s">
        <v>83</v>
      </c>
      <c r="D2" s="134" t="str" cm="1">
        <f t="array" aca="1" ref="D2" ca="1">_xlfn.LET(_xlpm.filepath,CELL("filename",D2),MID(_xlpm.filepath,FIND("]",_xlpm.filepath)+1,3))</f>
        <v>009</v>
      </c>
      <c r="E2" s="135" t="s">
        <v>84</v>
      </c>
      <c r="F2" s="89" t="str">
        <f>"S"&amp;E2&amp;"+"</f>
        <v>S1+</v>
      </c>
      <c r="G2" s="94" t="s">
        <v>85</v>
      </c>
      <c r="H2" s="94" t="s">
        <v>86</v>
      </c>
      <c r="I2" s="66" t="str">
        <f>E2&amp;"a"</f>
        <v>1a</v>
      </c>
      <c r="J2" s="216" t="s">
        <v>75</v>
      </c>
      <c r="K2" s="216" t="s">
        <v>164</v>
      </c>
      <c r="L2" s="66" t="s">
        <v>450</v>
      </c>
      <c r="M2" s="66" t="s">
        <v>440</v>
      </c>
      <c r="N2" s="217" t="str">
        <f ca="1">D2&amp;"/"&amp;F2</f>
        <v>009/S1+</v>
      </c>
      <c r="O2" s="66" t="s">
        <v>505</v>
      </c>
      <c r="P2" s="66">
        <v>3</v>
      </c>
      <c r="Q2" s="90" t="s">
        <v>390</v>
      </c>
      <c r="R2" s="69">
        <v>0</v>
      </c>
    </row>
    <row r="3" spans="1:20" ht="18" customHeight="1" x14ac:dyDescent="0.25">
      <c r="A3" s="168"/>
      <c r="B3" s="138"/>
      <c r="C3" s="139"/>
      <c r="D3" s="140"/>
      <c r="E3" s="141"/>
      <c r="F3" s="117" t="str">
        <f>"DI"&amp;E2&amp;"+"</f>
        <v>DI1+</v>
      </c>
      <c r="G3" s="139"/>
      <c r="H3" s="139"/>
      <c r="I3" s="55" t="str">
        <f>E2&amp;"b"</f>
        <v>1b</v>
      </c>
      <c r="J3" s="139"/>
      <c r="K3" s="139"/>
      <c r="L3" s="55" t="s">
        <v>378</v>
      </c>
      <c r="M3" s="55" t="s">
        <v>440</v>
      </c>
      <c r="N3" s="117" t="str">
        <f ca="1">D2&amp;"/"&amp;F3</f>
        <v>009/DI1+</v>
      </c>
      <c r="O3" s="55" t="s">
        <v>505</v>
      </c>
      <c r="P3" s="55">
        <v>4</v>
      </c>
      <c r="Q3" s="142"/>
      <c r="R3" s="57"/>
    </row>
    <row r="4" spans="1:20" ht="18" customHeight="1" x14ac:dyDescent="0.25">
      <c r="A4" s="169" t="s">
        <v>165</v>
      </c>
      <c r="B4" s="101" t="s">
        <v>166</v>
      </c>
      <c r="C4" s="102" t="s">
        <v>83</v>
      </c>
      <c r="D4" s="143" t="str" cm="1">
        <f t="array" aca="1" ref="D4" ca="1">_xlfn.LET(_xlpm.filepath,CELL("filename",D4),MID(_xlpm.filepath,FIND("]",_xlpm.filepath)+1,3))</f>
        <v>009</v>
      </c>
      <c r="E4" s="144" t="s">
        <v>90</v>
      </c>
      <c r="F4" s="104" t="str">
        <f>"S"&amp;E4&amp;"+"</f>
        <v>S2+</v>
      </c>
      <c r="G4" s="102" t="str">
        <f>G2</f>
        <v>X-DI 32 05</v>
      </c>
      <c r="H4" s="102" t="str">
        <f>H2</f>
        <v>X-CB 005 01</v>
      </c>
      <c r="I4" s="58" t="str">
        <f>E4&amp;"a"</f>
        <v>2a</v>
      </c>
      <c r="J4" s="102" t="s">
        <v>75</v>
      </c>
      <c r="K4" s="102" t="s">
        <v>164</v>
      </c>
      <c r="L4" s="58" t="s">
        <v>450</v>
      </c>
      <c r="M4" s="58" t="s">
        <v>440</v>
      </c>
      <c r="N4" s="104" t="str">
        <f ca="1">D4&amp;"/"&amp;F4</f>
        <v>009/S2+</v>
      </c>
      <c r="O4" s="58" t="s">
        <v>505</v>
      </c>
      <c r="P4" s="58">
        <v>5</v>
      </c>
      <c r="Q4" s="103" t="s">
        <v>390</v>
      </c>
      <c r="R4" s="105" t="s">
        <v>91</v>
      </c>
    </row>
    <row r="5" spans="1:20" ht="18" customHeight="1" x14ac:dyDescent="0.25">
      <c r="A5" s="170"/>
      <c r="B5" s="126"/>
      <c r="C5" s="127"/>
      <c r="D5" s="145"/>
      <c r="E5" s="146"/>
      <c r="F5" s="147" t="str">
        <f>"DI"&amp;E4&amp;"+"</f>
        <v>DI2+</v>
      </c>
      <c r="G5" s="127"/>
      <c r="H5" s="127"/>
      <c r="I5" s="59" t="str">
        <f>E4&amp;"b"</f>
        <v>2b</v>
      </c>
      <c r="J5" s="129"/>
      <c r="K5" s="127"/>
      <c r="L5" s="59" t="s">
        <v>378</v>
      </c>
      <c r="M5" s="59" t="s">
        <v>440</v>
      </c>
      <c r="N5" s="147" t="str">
        <f ca="1">D4&amp;"/"&amp;F5</f>
        <v>009/DI2+</v>
      </c>
      <c r="O5" s="59" t="s">
        <v>505</v>
      </c>
      <c r="P5" s="59">
        <v>6</v>
      </c>
      <c r="Q5" s="128"/>
      <c r="R5" s="130"/>
    </row>
    <row r="6" spans="1:20" ht="18" customHeight="1" x14ac:dyDescent="0.25">
      <c r="A6" s="171" t="s">
        <v>620</v>
      </c>
      <c r="B6" s="120" t="s">
        <v>377</v>
      </c>
      <c r="C6" s="121" t="s">
        <v>83</v>
      </c>
      <c r="D6" s="148" t="str" cm="1">
        <f t="array" aca="1" ref="D6" ca="1">_xlfn.LET(_xlpm.filepath,CELL("filename",D6),MID(_xlpm.filepath,FIND("]",_xlpm.filepath)+1,3))</f>
        <v>009</v>
      </c>
      <c r="E6" s="149">
        <v>3</v>
      </c>
      <c r="F6" s="123" t="str">
        <f>"S"&amp;E6&amp;"+"</f>
        <v>S3+</v>
      </c>
      <c r="G6" s="121" t="str">
        <f>G4</f>
        <v>X-DI 32 05</v>
      </c>
      <c r="H6" s="121" t="str">
        <f>H2</f>
        <v>X-CB 005 01</v>
      </c>
      <c r="I6" s="53" t="str">
        <f>E6&amp;"a"</f>
        <v>3a</v>
      </c>
      <c r="J6" s="121"/>
      <c r="K6" s="121"/>
      <c r="L6" s="53" t="s">
        <v>450</v>
      </c>
      <c r="M6" s="53" t="s">
        <v>440</v>
      </c>
      <c r="N6" s="123" t="str">
        <f ca="1">D6&amp;"/"&amp;F6</f>
        <v>009/S3+</v>
      </c>
      <c r="O6" s="53" t="s">
        <v>497</v>
      </c>
      <c r="P6" s="53">
        <v>13</v>
      </c>
      <c r="Q6" s="326" t="s">
        <v>465</v>
      </c>
      <c r="R6" s="299" t="s">
        <v>674</v>
      </c>
      <c r="T6" s="285" t="s">
        <v>669</v>
      </c>
    </row>
    <row r="7" spans="1:20" ht="18" customHeight="1" x14ac:dyDescent="0.25">
      <c r="A7" s="168"/>
      <c r="B7" s="138"/>
      <c r="C7" s="139"/>
      <c r="D7" s="140"/>
      <c r="E7" s="141"/>
      <c r="F7" s="117" t="str">
        <f>"DI"&amp;E6&amp;"+"</f>
        <v>DI3+</v>
      </c>
      <c r="G7" s="139"/>
      <c r="H7" s="139"/>
      <c r="I7" s="55" t="str">
        <f>E6&amp;"b"</f>
        <v>3b</v>
      </c>
      <c r="J7" s="139"/>
      <c r="K7" s="139"/>
      <c r="L7" s="55" t="s">
        <v>378</v>
      </c>
      <c r="M7" s="55" t="s">
        <v>440</v>
      </c>
      <c r="N7" s="117" t="str">
        <f ca="1">D6&amp;"/"&amp;F7</f>
        <v>009/DI3+</v>
      </c>
      <c r="O7" s="55" t="s">
        <v>497</v>
      </c>
      <c r="P7" s="55">
        <v>14</v>
      </c>
      <c r="Q7" s="142"/>
      <c r="R7" s="151"/>
    </row>
    <row r="8" spans="1:20" ht="18" customHeight="1" x14ac:dyDescent="0.25">
      <c r="A8" s="169" t="s">
        <v>173</v>
      </c>
      <c r="B8" s="101" t="s">
        <v>174</v>
      </c>
      <c r="C8" s="102" t="s">
        <v>83</v>
      </c>
      <c r="D8" s="143" t="str" cm="1">
        <f t="array" aca="1" ref="D8" ca="1">_xlfn.LET(_xlpm.filepath,CELL("filename",D8),MID(_xlpm.filepath,FIND("]",_xlpm.filepath)+1,3))</f>
        <v>009</v>
      </c>
      <c r="E8" s="144" t="s">
        <v>96</v>
      </c>
      <c r="F8" s="104" t="str">
        <f t="shared" ref="F8" si="0">"S"&amp;E8&amp;"+"</f>
        <v>S4+</v>
      </c>
      <c r="G8" s="102" t="str">
        <f>G6</f>
        <v>X-DI 32 05</v>
      </c>
      <c r="H8" s="102" t="str">
        <f>H6</f>
        <v>X-CB 005 01</v>
      </c>
      <c r="I8" s="58" t="str">
        <f t="shared" ref="I8" si="1">E8&amp;"a"</f>
        <v>4a</v>
      </c>
      <c r="J8" s="102" t="s">
        <v>75</v>
      </c>
      <c r="K8" s="102" t="s">
        <v>175</v>
      </c>
      <c r="L8" s="58" t="s">
        <v>450</v>
      </c>
      <c r="M8" s="58" t="s">
        <v>440</v>
      </c>
      <c r="N8" s="104" t="str">
        <f ca="1">D8&amp;"/"&amp;F8</f>
        <v>009/S4+</v>
      </c>
      <c r="O8" s="58" t="s">
        <v>509</v>
      </c>
      <c r="P8" s="58">
        <v>3</v>
      </c>
      <c r="Q8" s="103" t="s">
        <v>390</v>
      </c>
      <c r="R8" s="105" t="s">
        <v>91</v>
      </c>
    </row>
    <row r="9" spans="1:20" ht="18" customHeight="1" x14ac:dyDescent="0.25">
      <c r="A9" s="170"/>
      <c r="B9" s="126"/>
      <c r="C9" s="127"/>
      <c r="D9" s="145"/>
      <c r="E9" s="146"/>
      <c r="F9" s="147" t="str">
        <f t="shared" ref="F9" si="2">"DI"&amp;E8&amp;"+"</f>
        <v>DI4+</v>
      </c>
      <c r="G9" s="127"/>
      <c r="H9" s="127"/>
      <c r="I9" s="59" t="str">
        <f t="shared" ref="I9" si="3">E8&amp;"b"</f>
        <v>4b</v>
      </c>
      <c r="J9" s="129"/>
      <c r="K9" s="127"/>
      <c r="L9" s="59" t="s">
        <v>378</v>
      </c>
      <c r="M9" s="59" t="s">
        <v>440</v>
      </c>
      <c r="N9" s="147" t="str">
        <f ca="1">D8&amp;"/"&amp;F9</f>
        <v>009/DI4+</v>
      </c>
      <c r="O9" s="59" t="s">
        <v>509</v>
      </c>
      <c r="P9" s="59" t="s">
        <v>96</v>
      </c>
      <c r="Q9" s="128"/>
      <c r="R9" s="130"/>
    </row>
    <row r="10" spans="1:20" ht="18" customHeight="1" x14ac:dyDescent="0.25">
      <c r="A10" s="171" t="s">
        <v>521</v>
      </c>
      <c r="B10" s="120" t="s">
        <v>172</v>
      </c>
      <c r="C10" s="121" t="s">
        <v>83</v>
      </c>
      <c r="D10" s="148" t="str" cm="1">
        <f t="array" aca="1" ref="D10" ca="1">_xlfn.LET(_xlpm.filepath,CELL("filename",D10),MID(_xlpm.filepath,FIND("]",_xlpm.filepath)+1,3))</f>
        <v>009</v>
      </c>
      <c r="E10" s="149">
        <v>5</v>
      </c>
      <c r="F10" s="123" t="str">
        <f t="shared" ref="F10" si="4">"S"&amp;E10&amp;"+"</f>
        <v>S5+</v>
      </c>
      <c r="G10" s="121" t="str">
        <f>G8</f>
        <v>X-DI 32 05</v>
      </c>
      <c r="H10" s="121" t="str">
        <f>H6</f>
        <v>X-CB 005 01</v>
      </c>
      <c r="I10" s="53" t="str">
        <f t="shared" ref="I10" si="5">E10&amp;"a"</f>
        <v>5a</v>
      </c>
      <c r="J10" s="121" t="s">
        <v>75</v>
      </c>
      <c r="K10" s="121" t="s">
        <v>175</v>
      </c>
      <c r="L10" s="53" t="s">
        <v>450</v>
      </c>
      <c r="M10" s="53" t="s">
        <v>440</v>
      </c>
      <c r="N10" s="123" t="str">
        <f ca="1">D10&amp;"/"&amp;F10</f>
        <v>009/S5+</v>
      </c>
      <c r="O10" s="53" t="s">
        <v>509</v>
      </c>
      <c r="P10" s="53">
        <v>5</v>
      </c>
      <c r="Q10" s="124" t="s">
        <v>390</v>
      </c>
      <c r="R10" s="150">
        <v>0</v>
      </c>
    </row>
    <row r="11" spans="1:20" ht="18" customHeight="1" x14ac:dyDescent="0.25">
      <c r="A11" s="168"/>
      <c r="B11" s="138"/>
      <c r="C11" s="139"/>
      <c r="D11" s="140"/>
      <c r="E11" s="141"/>
      <c r="F11" s="117" t="str">
        <f t="shared" ref="F11" si="6">"DI"&amp;E10&amp;"+"</f>
        <v>DI5+</v>
      </c>
      <c r="G11" s="139"/>
      <c r="H11" s="139"/>
      <c r="I11" s="55" t="str">
        <f t="shared" ref="I11" si="7">E10&amp;"b"</f>
        <v>5b</v>
      </c>
      <c r="J11" s="139"/>
      <c r="K11" s="139"/>
      <c r="L11" s="55" t="s">
        <v>378</v>
      </c>
      <c r="M11" s="55" t="s">
        <v>440</v>
      </c>
      <c r="N11" s="117" t="str">
        <f ca="1">D10&amp;"/"&amp;F11</f>
        <v>009/DI5+</v>
      </c>
      <c r="O11" s="55" t="s">
        <v>509</v>
      </c>
      <c r="P11" s="55">
        <v>6</v>
      </c>
      <c r="Q11" s="142"/>
      <c r="R11" s="151"/>
    </row>
    <row r="12" spans="1:20" ht="18" customHeight="1" x14ac:dyDescent="0.25">
      <c r="A12" s="169" t="s">
        <v>621</v>
      </c>
      <c r="B12" s="101" t="s">
        <v>377</v>
      </c>
      <c r="C12" s="102" t="s">
        <v>83</v>
      </c>
      <c r="D12" s="143" t="str" cm="1">
        <f t="array" aca="1" ref="D12" ca="1">_xlfn.LET(_xlpm.filepath,CELL("filename",D12),MID(_xlpm.filepath,FIND("]",_xlpm.filepath)+1,3))</f>
        <v>009</v>
      </c>
      <c r="E12" s="144" t="s">
        <v>101</v>
      </c>
      <c r="F12" s="104" t="str">
        <f t="shared" ref="F12" si="8">"S"&amp;E12&amp;"+"</f>
        <v>S6+</v>
      </c>
      <c r="G12" s="102" t="str">
        <f>G10</f>
        <v>X-DI 32 05</v>
      </c>
      <c r="H12" s="102" t="str">
        <f>H10</f>
        <v>X-CB 005 01</v>
      </c>
      <c r="I12" s="58" t="str">
        <f t="shared" ref="I12" si="9">E12&amp;"a"</f>
        <v>6a</v>
      </c>
      <c r="J12" s="102"/>
      <c r="K12" s="102"/>
      <c r="L12" s="58" t="s">
        <v>450</v>
      </c>
      <c r="M12" s="58" t="s">
        <v>440</v>
      </c>
      <c r="N12" s="104" t="str">
        <f ca="1">D12&amp;"/"&amp;F12</f>
        <v>009/S6+</v>
      </c>
      <c r="O12" s="58" t="s">
        <v>497</v>
      </c>
      <c r="P12" s="316" t="s">
        <v>267</v>
      </c>
      <c r="Q12" s="315" t="s">
        <v>465</v>
      </c>
      <c r="R12" s="317" t="s">
        <v>674</v>
      </c>
      <c r="T12" s="285" t="s">
        <v>671</v>
      </c>
    </row>
    <row r="13" spans="1:20" ht="18" customHeight="1" x14ac:dyDescent="0.25">
      <c r="A13" s="170"/>
      <c r="B13" s="126"/>
      <c r="C13" s="127"/>
      <c r="D13" s="145"/>
      <c r="E13" s="146"/>
      <c r="F13" s="147" t="str">
        <f t="shared" ref="F13" si="10">"DI"&amp;E12&amp;"+"</f>
        <v>DI6+</v>
      </c>
      <c r="G13" s="127"/>
      <c r="H13" s="127"/>
      <c r="I13" s="59" t="str">
        <f t="shared" ref="I13" si="11">E12&amp;"b"</f>
        <v>6b</v>
      </c>
      <c r="J13" s="129"/>
      <c r="K13" s="127"/>
      <c r="L13" s="59" t="s">
        <v>378</v>
      </c>
      <c r="M13" s="59" t="s">
        <v>440</v>
      </c>
      <c r="N13" s="147" t="str">
        <f ca="1">D12&amp;"/"&amp;F13</f>
        <v>009/DI6+</v>
      </c>
      <c r="O13" s="59" t="s">
        <v>497</v>
      </c>
      <c r="P13" s="327" t="s">
        <v>118</v>
      </c>
      <c r="Q13" s="128"/>
      <c r="R13" s="130"/>
    </row>
    <row r="14" spans="1:20" ht="18" customHeight="1" x14ac:dyDescent="0.25">
      <c r="A14" s="171" t="s">
        <v>183</v>
      </c>
      <c r="B14" s="120" t="s">
        <v>184</v>
      </c>
      <c r="C14" s="121" t="s">
        <v>83</v>
      </c>
      <c r="D14" s="148" t="str" cm="1">
        <f t="array" aca="1" ref="D14" ca="1">_xlfn.LET(_xlpm.filepath,CELL("filename",D14),MID(_xlpm.filepath,FIND("]",_xlpm.filepath)+1,3))</f>
        <v>009</v>
      </c>
      <c r="E14" s="149">
        <v>7</v>
      </c>
      <c r="F14" s="123" t="str">
        <f t="shared" ref="F14" si="12">"S"&amp;E14&amp;"+"</f>
        <v>S7+</v>
      </c>
      <c r="G14" s="121" t="str">
        <f>G12</f>
        <v>X-DI 32 05</v>
      </c>
      <c r="H14" s="121" t="str">
        <f>H10</f>
        <v>X-CB 005 01</v>
      </c>
      <c r="I14" s="53" t="str">
        <f t="shared" ref="I14" si="13">E14&amp;"a"</f>
        <v>7a</v>
      </c>
      <c r="J14" s="121" t="s">
        <v>75</v>
      </c>
      <c r="K14" s="121" t="s">
        <v>187</v>
      </c>
      <c r="L14" s="53" t="s">
        <v>450</v>
      </c>
      <c r="M14" s="53" t="s">
        <v>440</v>
      </c>
      <c r="N14" s="123" t="str">
        <f ca="1">D14&amp;"/"&amp;F14</f>
        <v>009/S7+</v>
      </c>
      <c r="O14" s="53" t="s">
        <v>513</v>
      </c>
      <c r="P14" s="53">
        <v>3</v>
      </c>
      <c r="Q14" s="124" t="s">
        <v>390</v>
      </c>
      <c r="R14" s="150">
        <v>0</v>
      </c>
    </row>
    <row r="15" spans="1:20" ht="18" customHeight="1" x14ac:dyDescent="0.25">
      <c r="A15" s="168"/>
      <c r="B15" s="138"/>
      <c r="C15" s="139"/>
      <c r="D15" s="140"/>
      <c r="E15" s="141"/>
      <c r="F15" s="117" t="str">
        <f t="shared" ref="F15" si="14">"DI"&amp;E14&amp;"+"</f>
        <v>DI7+</v>
      </c>
      <c r="G15" s="139"/>
      <c r="H15" s="139"/>
      <c r="I15" s="55" t="str">
        <f t="shared" ref="I15" si="15">E14&amp;"b"</f>
        <v>7b</v>
      </c>
      <c r="J15" s="139"/>
      <c r="K15" s="139"/>
      <c r="L15" s="55" t="s">
        <v>378</v>
      </c>
      <c r="M15" s="55" t="s">
        <v>440</v>
      </c>
      <c r="N15" s="117" t="str">
        <f ca="1">D14&amp;"/"&amp;F15</f>
        <v>009/DI7+</v>
      </c>
      <c r="O15" s="55" t="s">
        <v>513</v>
      </c>
      <c r="P15" s="55">
        <v>4</v>
      </c>
      <c r="Q15" s="142"/>
      <c r="R15" s="151"/>
    </row>
    <row r="16" spans="1:20" ht="18" customHeight="1" x14ac:dyDescent="0.25">
      <c r="A16" s="169" t="s">
        <v>185</v>
      </c>
      <c r="B16" s="101" t="s">
        <v>186</v>
      </c>
      <c r="C16" s="102" t="s">
        <v>83</v>
      </c>
      <c r="D16" s="143" t="str" cm="1">
        <f t="array" aca="1" ref="D16" ca="1">_xlfn.LET(_xlpm.filepath,CELL("filename",D16),MID(_xlpm.filepath,FIND("]",_xlpm.filepath)+1,3))</f>
        <v>009</v>
      </c>
      <c r="E16" s="144" t="s">
        <v>102</v>
      </c>
      <c r="F16" s="104" t="str">
        <f t="shared" ref="F16" si="16">"S"&amp;E16&amp;"+"</f>
        <v>S8+</v>
      </c>
      <c r="G16" s="102" t="str">
        <f>G14</f>
        <v>X-DI 32 05</v>
      </c>
      <c r="H16" s="102" t="str">
        <f>H14</f>
        <v>X-CB 005 01</v>
      </c>
      <c r="I16" s="58" t="str">
        <f t="shared" ref="I16" si="17">E16&amp;"a"</f>
        <v>8a</v>
      </c>
      <c r="J16" s="102" t="s">
        <v>75</v>
      </c>
      <c r="K16" s="102" t="s">
        <v>187</v>
      </c>
      <c r="L16" s="58" t="s">
        <v>450</v>
      </c>
      <c r="M16" s="58" t="s">
        <v>440</v>
      </c>
      <c r="N16" s="104" t="str">
        <f ca="1">D16&amp;"/"&amp;F16</f>
        <v>009/S8+</v>
      </c>
      <c r="O16" s="58" t="s">
        <v>513</v>
      </c>
      <c r="P16" s="58">
        <v>5</v>
      </c>
      <c r="Q16" s="103" t="s">
        <v>390</v>
      </c>
      <c r="R16" s="105" t="s">
        <v>91</v>
      </c>
    </row>
    <row r="17" spans="1:20" ht="18" customHeight="1" x14ac:dyDescent="0.25">
      <c r="A17" s="170"/>
      <c r="B17" s="126"/>
      <c r="C17" s="127"/>
      <c r="D17" s="145"/>
      <c r="E17" s="146"/>
      <c r="F17" s="147" t="str">
        <f t="shared" ref="F17" si="18">"DI"&amp;E16&amp;"+"</f>
        <v>DI8+</v>
      </c>
      <c r="G17" s="127"/>
      <c r="H17" s="127"/>
      <c r="I17" s="59" t="str">
        <f t="shared" ref="I17" si="19">E16&amp;"b"</f>
        <v>8b</v>
      </c>
      <c r="J17" s="129"/>
      <c r="K17" s="127"/>
      <c r="L17" s="59" t="s">
        <v>378</v>
      </c>
      <c r="M17" s="59" t="s">
        <v>440</v>
      </c>
      <c r="N17" s="147" t="str">
        <f ca="1">D16&amp;"/"&amp;F17</f>
        <v>009/DI8+</v>
      </c>
      <c r="O17" s="59" t="s">
        <v>513</v>
      </c>
      <c r="P17" s="59">
        <v>6</v>
      </c>
      <c r="Q17" s="128"/>
      <c r="R17" s="130"/>
    </row>
    <row r="18" spans="1:20" ht="18" customHeight="1" x14ac:dyDescent="0.25">
      <c r="A18" s="171" t="s">
        <v>622</v>
      </c>
      <c r="B18" s="120" t="s">
        <v>520</v>
      </c>
      <c r="C18" s="121" t="s">
        <v>83</v>
      </c>
      <c r="D18" s="148" t="str" cm="1">
        <f t="array" aca="1" ref="D18" ca="1">_xlfn.LET(_xlpm.filepath,CELL("filename",D18),MID(_xlpm.filepath,FIND("]",_xlpm.filepath)+1,3))</f>
        <v>009</v>
      </c>
      <c r="E18" s="149">
        <v>9</v>
      </c>
      <c r="F18" s="123" t="str">
        <f t="shared" ref="F18" si="20">"S"&amp;E18&amp;"+"</f>
        <v>S9+</v>
      </c>
      <c r="G18" s="121" t="str">
        <f>G16</f>
        <v>X-DI 32 05</v>
      </c>
      <c r="H18" s="121" t="str">
        <f>H14</f>
        <v>X-CB 005 01</v>
      </c>
      <c r="I18" s="53" t="str">
        <f t="shared" ref="I18" si="21">E18&amp;"a"</f>
        <v>9a</v>
      </c>
      <c r="J18" s="121"/>
      <c r="K18" s="121" t="s">
        <v>190</v>
      </c>
      <c r="L18" s="53" t="s">
        <v>450</v>
      </c>
      <c r="M18" s="53" t="s">
        <v>440</v>
      </c>
      <c r="N18" s="123" t="str">
        <f ca="1">D18&amp;"/"&amp;F18</f>
        <v>009/S9+</v>
      </c>
      <c r="O18" s="277" t="s">
        <v>497</v>
      </c>
      <c r="P18" s="277">
        <v>17</v>
      </c>
      <c r="Q18" s="326" t="s">
        <v>465</v>
      </c>
      <c r="R18" s="337" t="s">
        <v>674</v>
      </c>
      <c r="T18" s="285" t="s">
        <v>671</v>
      </c>
    </row>
    <row r="19" spans="1:20" ht="18" customHeight="1" x14ac:dyDescent="0.25">
      <c r="A19" s="168"/>
      <c r="B19" s="138"/>
      <c r="C19" s="139"/>
      <c r="D19" s="140"/>
      <c r="E19" s="141"/>
      <c r="F19" s="117" t="str">
        <f t="shared" ref="F19" si="22">"DI"&amp;E18&amp;"+"</f>
        <v>DI9+</v>
      </c>
      <c r="G19" s="139"/>
      <c r="H19" s="139"/>
      <c r="I19" s="55" t="str">
        <f t="shared" ref="I19" si="23">E18&amp;"b"</f>
        <v>9b</v>
      </c>
      <c r="J19" s="139"/>
      <c r="K19" s="139"/>
      <c r="L19" s="55" t="s">
        <v>378</v>
      </c>
      <c r="M19" s="55" t="s">
        <v>440</v>
      </c>
      <c r="N19" s="117" t="str">
        <f ca="1">D18&amp;"/"&amp;F19</f>
        <v>009/DI9+</v>
      </c>
      <c r="O19" s="271" t="s">
        <v>497</v>
      </c>
      <c r="P19" s="271">
        <v>18</v>
      </c>
      <c r="Q19" s="142"/>
      <c r="R19" s="151"/>
    </row>
    <row r="20" spans="1:20" ht="18" customHeight="1" x14ac:dyDescent="0.25">
      <c r="A20" s="169" t="s">
        <v>194</v>
      </c>
      <c r="B20" s="101" t="s">
        <v>195</v>
      </c>
      <c r="C20" s="102" t="s">
        <v>83</v>
      </c>
      <c r="D20" s="143" t="str" cm="1">
        <f t="array" aca="1" ref="D20" ca="1">_xlfn.LET(_xlpm.filepath,CELL("filename",D20),MID(_xlpm.filepath,FIND("]",_xlpm.filepath)+1,3))</f>
        <v>009</v>
      </c>
      <c r="E20" s="144" t="s">
        <v>105</v>
      </c>
      <c r="F20" s="104" t="str">
        <f t="shared" ref="F20" si="24">"S"&amp;E20&amp;"+"</f>
        <v>S10+</v>
      </c>
      <c r="G20" s="102" t="str">
        <f>G18</f>
        <v>X-DI 32 05</v>
      </c>
      <c r="H20" s="102" t="str">
        <f>H18</f>
        <v>X-CB 005 01</v>
      </c>
      <c r="I20" s="58" t="str">
        <f t="shared" ref="I20" si="25">E20&amp;"a"</f>
        <v>10a</v>
      </c>
      <c r="J20" s="102" t="s">
        <v>56</v>
      </c>
      <c r="K20" s="102" t="s">
        <v>196</v>
      </c>
      <c r="L20" s="58" t="s">
        <v>450</v>
      </c>
      <c r="M20" s="58" t="s">
        <v>440</v>
      </c>
      <c r="N20" s="104" t="str">
        <f ca="1">D20&amp;"/"&amp;F20</f>
        <v>009/S10+</v>
      </c>
      <c r="O20" s="58" t="s">
        <v>516</v>
      </c>
      <c r="P20" s="58">
        <v>1</v>
      </c>
      <c r="Q20" s="103" t="s">
        <v>390</v>
      </c>
      <c r="R20" s="105" t="s">
        <v>91</v>
      </c>
    </row>
    <row r="21" spans="1:20" ht="18" customHeight="1" x14ac:dyDescent="0.25">
      <c r="A21" s="170"/>
      <c r="B21" s="126"/>
      <c r="C21" s="127"/>
      <c r="D21" s="145"/>
      <c r="E21" s="146"/>
      <c r="F21" s="147" t="str">
        <f t="shared" ref="F21" si="26">"DI"&amp;E20&amp;"+"</f>
        <v>DI10+</v>
      </c>
      <c r="G21" s="127"/>
      <c r="H21" s="127"/>
      <c r="I21" s="59" t="str">
        <f t="shared" ref="I21" si="27">E20&amp;"b"</f>
        <v>10b</v>
      </c>
      <c r="J21" s="129"/>
      <c r="K21" s="127"/>
      <c r="L21" s="59" t="s">
        <v>378</v>
      </c>
      <c r="M21" s="59" t="s">
        <v>440</v>
      </c>
      <c r="N21" s="147" t="str">
        <f ca="1">D20&amp;"/"&amp;F21</f>
        <v>009/DI10+</v>
      </c>
      <c r="O21" s="59" t="s">
        <v>516</v>
      </c>
      <c r="P21" s="59" t="s">
        <v>90</v>
      </c>
      <c r="Q21" s="128"/>
      <c r="R21" s="130"/>
    </row>
    <row r="22" spans="1:20" ht="18" customHeight="1" x14ac:dyDescent="0.25">
      <c r="A22" s="171" t="s">
        <v>623</v>
      </c>
      <c r="B22" s="120" t="s">
        <v>520</v>
      </c>
      <c r="C22" s="121" t="s">
        <v>83</v>
      </c>
      <c r="D22" s="148" t="str" cm="1">
        <f t="array" aca="1" ref="D22" ca="1">_xlfn.LET(_xlpm.filepath,CELL("filename",D22),MID(_xlpm.filepath,FIND("]",_xlpm.filepath)+1,3))</f>
        <v>009</v>
      </c>
      <c r="E22" s="149">
        <v>11</v>
      </c>
      <c r="F22" s="123" t="str">
        <f t="shared" ref="F22" si="28">"S"&amp;E22&amp;"+"</f>
        <v>S11+</v>
      </c>
      <c r="G22" s="121" t="str">
        <f>G20</f>
        <v>X-DI 32 05</v>
      </c>
      <c r="H22" s="121" t="str">
        <f>H18</f>
        <v>X-CB 005 01</v>
      </c>
      <c r="I22" s="53" t="str">
        <f t="shared" ref="I22" si="29">E22&amp;"a"</f>
        <v>11a</v>
      </c>
      <c r="J22" s="121"/>
      <c r="K22" s="121" t="s">
        <v>196</v>
      </c>
      <c r="L22" s="53" t="s">
        <v>450</v>
      </c>
      <c r="M22" s="53" t="s">
        <v>440</v>
      </c>
      <c r="N22" s="123" t="str">
        <f ca="1">D22&amp;"/"&amp;F22</f>
        <v>009/S11+</v>
      </c>
      <c r="O22" s="53" t="s">
        <v>516</v>
      </c>
      <c r="P22" s="53">
        <v>3</v>
      </c>
      <c r="Q22" s="326" t="s">
        <v>465</v>
      </c>
      <c r="R22" s="337" t="s">
        <v>674</v>
      </c>
    </row>
    <row r="23" spans="1:20" ht="18" customHeight="1" x14ac:dyDescent="0.25">
      <c r="A23" s="168"/>
      <c r="B23" s="138"/>
      <c r="C23" s="139"/>
      <c r="D23" s="140"/>
      <c r="E23" s="141"/>
      <c r="F23" s="117" t="str">
        <f t="shared" ref="F23" si="30">"DI"&amp;E22&amp;"+"</f>
        <v>DI11+</v>
      </c>
      <c r="G23" s="139"/>
      <c r="H23" s="139"/>
      <c r="I23" s="55" t="str">
        <f t="shared" ref="I23" si="31">E22&amp;"b"</f>
        <v>11b</v>
      </c>
      <c r="J23" s="139"/>
      <c r="K23" s="139"/>
      <c r="L23" s="55" t="s">
        <v>378</v>
      </c>
      <c r="M23" s="55" t="s">
        <v>440</v>
      </c>
      <c r="N23" s="117" t="str">
        <f ca="1">D22&amp;"/"&amp;F23</f>
        <v>009/DI11+</v>
      </c>
      <c r="O23" s="55" t="s">
        <v>516</v>
      </c>
      <c r="P23" s="55">
        <v>4</v>
      </c>
      <c r="Q23" s="142"/>
      <c r="R23" s="151"/>
    </row>
    <row r="24" spans="1:20" ht="18" customHeight="1" x14ac:dyDescent="0.25">
      <c r="A24" s="263" t="str">
        <f ca="1">"SPDI-"&amp;D24&amp;"/"&amp;E24</f>
        <v>SPDI-009/12</v>
      </c>
      <c r="B24" s="264" t="s">
        <v>377</v>
      </c>
      <c r="C24" s="102" t="s">
        <v>83</v>
      </c>
      <c r="D24" s="143" t="str" cm="1">
        <f t="array" aca="1" ref="D24" ca="1">_xlfn.LET(_xlpm.filepath,CELL("filename",D24),MID(_xlpm.filepath,FIND("]",_xlpm.filepath)+1,3))</f>
        <v>009</v>
      </c>
      <c r="E24" s="144" t="s">
        <v>108</v>
      </c>
      <c r="F24" s="104" t="str">
        <f t="shared" ref="F24" si="32">"S"&amp;E24&amp;"+"</f>
        <v>S12+</v>
      </c>
      <c r="G24" s="102" t="str">
        <f>G22</f>
        <v>X-DI 32 05</v>
      </c>
      <c r="H24" s="102" t="str">
        <f>H22</f>
        <v>X-CB 005 01</v>
      </c>
      <c r="I24" s="58" t="str">
        <f t="shared" ref="I24" si="33">E24&amp;"a"</f>
        <v>12a</v>
      </c>
      <c r="J24" s="102" t="s">
        <v>56</v>
      </c>
      <c r="K24" s="102" t="s">
        <v>197</v>
      </c>
      <c r="L24" s="58" t="s">
        <v>450</v>
      </c>
      <c r="M24" s="58" t="s">
        <v>440</v>
      </c>
      <c r="N24" s="104" t="str">
        <f ca="1">D24&amp;"/"&amp;F24</f>
        <v>009/S12+</v>
      </c>
      <c r="O24" s="268" t="s">
        <v>497</v>
      </c>
      <c r="P24" s="316" t="s">
        <v>275</v>
      </c>
      <c r="Q24" s="315" t="s">
        <v>465</v>
      </c>
      <c r="R24" s="262" t="s">
        <v>674</v>
      </c>
      <c r="T24" s="273" t="s">
        <v>652</v>
      </c>
    </row>
    <row r="25" spans="1:20" ht="18" customHeight="1" x14ac:dyDescent="0.25">
      <c r="A25" s="265"/>
      <c r="B25" s="266"/>
      <c r="C25" s="127"/>
      <c r="D25" s="145"/>
      <c r="E25" s="146"/>
      <c r="F25" s="147" t="str">
        <f t="shared" ref="F25" si="34">"DI"&amp;E24&amp;"+"</f>
        <v>DI12+</v>
      </c>
      <c r="G25" s="127"/>
      <c r="H25" s="127"/>
      <c r="I25" s="59" t="str">
        <f t="shared" ref="I25" si="35">E24&amp;"b"</f>
        <v>12b</v>
      </c>
      <c r="J25" s="129"/>
      <c r="K25" s="127"/>
      <c r="L25" s="59" t="s">
        <v>378</v>
      </c>
      <c r="M25" s="59" t="s">
        <v>440</v>
      </c>
      <c r="N25" s="147" t="str">
        <f ca="1">D24&amp;"/"&amp;F25</f>
        <v>009/DI12+</v>
      </c>
      <c r="O25" s="269" t="s">
        <v>497</v>
      </c>
      <c r="P25" s="327" t="s">
        <v>128</v>
      </c>
      <c r="Q25" s="128"/>
      <c r="R25" s="130"/>
      <c r="T25" t="s">
        <v>668</v>
      </c>
    </row>
    <row r="26" spans="1:20" ht="18" customHeight="1" x14ac:dyDescent="0.25">
      <c r="A26" s="171" t="s">
        <v>122</v>
      </c>
      <c r="B26" s="120" t="s">
        <v>121</v>
      </c>
      <c r="C26" s="121" t="s">
        <v>83</v>
      </c>
      <c r="D26" s="148" t="str" cm="1">
        <f t="array" aca="1" ref="D26" ca="1">_xlfn.LET(_xlpm.filepath,CELL("filename",D26),MID(_xlpm.filepath,FIND("]",_xlpm.filepath)+1,3))</f>
        <v>009</v>
      </c>
      <c r="E26" s="149">
        <v>13</v>
      </c>
      <c r="F26" s="123" t="str">
        <f t="shared" ref="F26" si="36">"S"&amp;E26&amp;"+"</f>
        <v>S13+</v>
      </c>
      <c r="G26" s="121" t="str">
        <f>G24</f>
        <v>X-DI 32 05</v>
      </c>
      <c r="H26" s="121" t="str">
        <f>H22</f>
        <v>X-CB 005 01</v>
      </c>
      <c r="I26" s="53" t="str">
        <f t="shared" ref="I26" si="37">E26&amp;"a"</f>
        <v>13a</v>
      </c>
      <c r="J26" s="121" t="s">
        <v>109</v>
      </c>
      <c r="K26" s="121" t="s">
        <v>517</v>
      </c>
      <c r="L26" s="53" t="s">
        <v>450</v>
      </c>
      <c r="M26" s="53" t="s">
        <v>440</v>
      </c>
      <c r="N26" s="123" t="str">
        <f ca="1">D26&amp;"/"&amp;F26</f>
        <v>009/S13+</v>
      </c>
      <c r="O26" s="53" t="s">
        <v>503</v>
      </c>
      <c r="P26" s="53">
        <v>19</v>
      </c>
      <c r="Q26" s="124" t="s">
        <v>390</v>
      </c>
      <c r="R26" s="150">
        <v>0</v>
      </c>
    </row>
    <row r="27" spans="1:20" ht="18" customHeight="1" x14ac:dyDescent="0.25">
      <c r="A27" s="168"/>
      <c r="B27" s="138"/>
      <c r="C27" s="139"/>
      <c r="D27" s="140"/>
      <c r="E27" s="141"/>
      <c r="F27" s="117" t="str">
        <f t="shared" ref="F27" si="38">"DI"&amp;E26&amp;"+"</f>
        <v>DI13+</v>
      </c>
      <c r="G27" s="139"/>
      <c r="H27" s="139"/>
      <c r="I27" s="55" t="str">
        <f t="shared" ref="I27" si="39">E26&amp;"b"</f>
        <v>13b</v>
      </c>
      <c r="J27" s="139"/>
      <c r="K27" s="139"/>
      <c r="L27" s="55" t="s">
        <v>378</v>
      </c>
      <c r="M27" s="55" t="s">
        <v>440</v>
      </c>
      <c r="N27" s="117" t="str">
        <f ca="1">D26&amp;"/"&amp;F27</f>
        <v>009/DI13+</v>
      </c>
      <c r="O27" s="55" t="s">
        <v>503</v>
      </c>
      <c r="P27" s="55">
        <v>20</v>
      </c>
      <c r="Q27" s="142"/>
      <c r="R27" s="151"/>
    </row>
    <row r="28" spans="1:20" ht="18" customHeight="1" x14ac:dyDescent="0.25">
      <c r="A28" s="169" t="s">
        <v>201</v>
      </c>
      <c r="B28" s="101" t="s">
        <v>199</v>
      </c>
      <c r="C28" s="102" t="s">
        <v>83</v>
      </c>
      <c r="D28" s="143" t="str" cm="1">
        <f t="array" aca="1" ref="D28" ca="1">_xlfn.LET(_xlpm.filepath,CELL("filename",D28),MID(_xlpm.filepath,FIND("]",_xlpm.filepath)+1,3))</f>
        <v>009</v>
      </c>
      <c r="E28" s="144" t="s">
        <v>112</v>
      </c>
      <c r="F28" s="104" t="str">
        <f t="shared" ref="F28" si="40">"S"&amp;E28&amp;"+"</f>
        <v>S14+</v>
      </c>
      <c r="G28" s="102" t="str">
        <f>G26</f>
        <v>X-DI 32 05</v>
      </c>
      <c r="H28" s="102" t="str">
        <f>H26</f>
        <v>X-CB 005 01</v>
      </c>
      <c r="I28" s="58" t="str">
        <f t="shared" ref="I28" si="41">E28&amp;"a"</f>
        <v>14a</v>
      </c>
      <c r="J28" s="102" t="s">
        <v>56</v>
      </c>
      <c r="K28" s="102" t="s">
        <v>200</v>
      </c>
      <c r="L28" s="58" t="s">
        <v>450</v>
      </c>
      <c r="M28" s="58" t="s">
        <v>440</v>
      </c>
      <c r="N28" s="104" t="str">
        <f ca="1">D28&amp;"/"&amp;F28</f>
        <v>009/S14+</v>
      </c>
      <c r="O28" s="58" t="s">
        <v>518</v>
      </c>
      <c r="P28" s="58">
        <v>3</v>
      </c>
      <c r="Q28" s="103" t="s">
        <v>390</v>
      </c>
      <c r="R28" s="105" t="s">
        <v>91</v>
      </c>
    </row>
    <row r="29" spans="1:20" ht="18" customHeight="1" thickBot="1" x14ac:dyDescent="0.3">
      <c r="A29" s="170"/>
      <c r="B29" s="126"/>
      <c r="C29" s="127"/>
      <c r="D29" s="145"/>
      <c r="E29" s="146"/>
      <c r="F29" s="147" t="str">
        <f t="shared" ref="F29" si="42">"DI"&amp;E28&amp;"+"</f>
        <v>DI14+</v>
      </c>
      <c r="G29" s="127"/>
      <c r="H29" s="127"/>
      <c r="I29" s="59" t="str">
        <f t="shared" ref="I29" si="43">E28&amp;"b"</f>
        <v>14b</v>
      </c>
      <c r="J29" s="129"/>
      <c r="K29" s="127"/>
      <c r="L29" s="59" t="s">
        <v>378</v>
      </c>
      <c r="M29" s="59" t="s">
        <v>440</v>
      </c>
      <c r="N29" s="147" t="str">
        <f ca="1">D28&amp;"/"&amp;F29</f>
        <v>009/DI14+</v>
      </c>
      <c r="O29" s="235" t="s">
        <v>518</v>
      </c>
      <c r="P29" s="235">
        <v>4</v>
      </c>
      <c r="Q29" s="128"/>
      <c r="R29" s="130"/>
    </row>
    <row r="30" spans="1:20" ht="18" customHeight="1" thickTop="1" x14ac:dyDescent="0.25">
      <c r="A30" s="171" t="s">
        <v>205</v>
      </c>
      <c r="B30" s="120" t="s">
        <v>203</v>
      </c>
      <c r="C30" s="121" t="s">
        <v>83</v>
      </c>
      <c r="D30" s="148" t="str" cm="1">
        <f t="array" aca="1" ref="D30" ca="1">_xlfn.LET(_xlpm.filepath,CELL("filename",D30),MID(_xlpm.filepath,FIND("]",_xlpm.filepath)+1,3))</f>
        <v>009</v>
      </c>
      <c r="E30" s="149">
        <v>15</v>
      </c>
      <c r="F30" s="123" t="str">
        <f t="shared" ref="F30" si="44">"S"&amp;E30&amp;"+"</f>
        <v>S15+</v>
      </c>
      <c r="G30" s="121" t="str">
        <f>G28</f>
        <v>X-DI 32 05</v>
      </c>
      <c r="H30" s="121" t="str">
        <f>H26</f>
        <v>X-CB 005 01</v>
      </c>
      <c r="I30" s="53" t="str">
        <f t="shared" ref="I30" si="45">E30&amp;"a"</f>
        <v>15a</v>
      </c>
      <c r="J30" s="121" t="s">
        <v>56</v>
      </c>
      <c r="K30" s="121" t="s">
        <v>204</v>
      </c>
      <c r="L30" s="53" t="s">
        <v>450</v>
      </c>
      <c r="M30" s="53" t="s">
        <v>440</v>
      </c>
      <c r="N30" s="123" t="str">
        <f ca="1">D30&amp;"/"&amp;F30</f>
        <v>009/S15+</v>
      </c>
      <c r="O30" s="66" t="s">
        <v>518</v>
      </c>
      <c r="P30" s="66">
        <v>7</v>
      </c>
      <c r="Q30" s="124" t="s">
        <v>390</v>
      </c>
      <c r="R30" s="150">
        <v>0</v>
      </c>
    </row>
    <row r="31" spans="1:20" ht="18" customHeight="1" thickBot="1" x14ac:dyDescent="0.3">
      <c r="A31" s="168"/>
      <c r="B31" s="138"/>
      <c r="C31" s="139"/>
      <c r="D31" s="140"/>
      <c r="E31" s="141"/>
      <c r="F31" s="117" t="str">
        <f t="shared" ref="F31" si="46">"DI"&amp;E30&amp;"+"</f>
        <v>DI15+</v>
      </c>
      <c r="G31" s="139"/>
      <c r="H31" s="139"/>
      <c r="I31" s="55" t="str">
        <f t="shared" ref="I31" si="47">E30&amp;"b"</f>
        <v>15b</v>
      </c>
      <c r="J31" s="139"/>
      <c r="K31" s="139"/>
      <c r="L31" s="55" t="s">
        <v>378</v>
      </c>
      <c r="M31" s="55" t="s">
        <v>440</v>
      </c>
      <c r="N31" s="117" t="str">
        <f ca="1">D30&amp;"/"&amp;F31</f>
        <v>009/DI15+</v>
      </c>
      <c r="O31" s="236" t="s">
        <v>518</v>
      </c>
      <c r="P31" s="236">
        <v>8</v>
      </c>
      <c r="Q31" s="142"/>
      <c r="R31" s="151"/>
    </row>
    <row r="32" spans="1:20" ht="18" customHeight="1" thickTop="1" x14ac:dyDescent="0.25">
      <c r="A32" s="169" t="s">
        <v>209</v>
      </c>
      <c r="B32" s="101" t="s">
        <v>207</v>
      </c>
      <c r="C32" s="102" t="s">
        <v>83</v>
      </c>
      <c r="D32" s="143" t="str" cm="1">
        <f t="array" aca="1" ref="D32" ca="1">_xlfn.LET(_xlpm.filepath,CELL("filename",D32),MID(_xlpm.filepath,FIND("]",_xlpm.filepath)+1,3))</f>
        <v>009</v>
      </c>
      <c r="E32" s="144" t="s">
        <v>118</v>
      </c>
      <c r="F32" s="104" t="str">
        <f t="shared" ref="F32" si="48">"S"&amp;E32&amp;"+"</f>
        <v>S16+</v>
      </c>
      <c r="G32" s="102" t="str">
        <f>G30</f>
        <v>X-DI 32 05</v>
      </c>
      <c r="H32" s="102" t="str">
        <f>H30</f>
        <v>X-CB 005 01</v>
      </c>
      <c r="I32" s="58" t="str">
        <f t="shared" ref="I32" si="49">E32&amp;"a"</f>
        <v>16a</v>
      </c>
      <c r="J32" s="102" t="s">
        <v>56</v>
      </c>
      <c r="K32" s="102" t="s">
        <v>208</v>
      </c>
      <c r="L32" s="58" t="s">
        <v>450</v>
      </c>
      <c r="M32" s="58" t="s">
        <v>440</v>
      </c>
      <c r="N32" s="104" t="str">
        <f ca="1">D32&amp;"/"&amp;F32</f>
        <v>009/S16+</v>
      </c>
      <c r="O32" s="234" t="s">
        <v>518</v>
      </c>
      <c r="P32" s="234">
        <v>11</v>
      </c>
      <c r="Q32" s="103" t="s">
        <v>390</v>
      </c>
      <c r="R32" s="105" t="s">
        <v>91</v>
      </c>
    </row>
    <row r="33" spans="1:18" ht="18" customHeight="1" thickBot="1" x14ac:dyDescent="0.3">
      <c r="A33" s="170"/>
      <c r="B33" s="126"/>
      <c r="C33" s="127"/>
      <c r="D33" s="145"/>
      <c r="E33" s="146"/>
      <c r="F33" s="147" t="str">
        <f t="shared" ref="F33" si="50">"DI"&amp;E32&amp;"+"</f>
        <v>DI16+</v>
      </c>
      <c r="G33" s="127"/>
      <c r="H33" s="127"/>
      <c r="I33" s="59" t="str">
        <f t="shared" ref="I33" si="51">E32&amp;"b"</f>
        <v>16b</v>
      </c>
      <c r="J33" s="129"/>
      <c r="K33" s="127"/>
      <c r="L33" s="59" t="s">
        <v>378</v>
      </c>
      <c r="M33" s="59" t="s">
        <v>440</v>
      </c>
      <c r="N33" s="147" t="str">
        <f ca="1">D32&amp;"/"&amp;F33</f>
        <v>009/DI16+</v>
      </c>
      <c r="O33" s="235" t="s">
        <v>518</v>
      </c>
      <c r="P33" s="235">
        <v>12</v>
      </c>
      <c r="Q33" s="128"/>
      <c r="R33" s="130"/>
    </row>
    <row r="34" spans="1:18" ht="18" customHeight="1" thickTop="1" x14ac:dyDescent="0.25">
      <c r="A34" s="171" t="s">
        <v>213</v>
      </c>
      <c r="B34" s="120" t="s">
        <v>211</v>
      </c>
      <c r="C34" s="121" t="s">
        <v>83</v>
      </c>
      <c r="D34" s="148" t="str" cm="1">
        <f t="array" aca="1" ref="D34" ca="1">_xlfn.LET(_xlpm.filepath,CELL("filename",D34),MID(_xlpm.filepath,FIND("]",_xlpm.filepath)+1,3))</f>
        <v>009</v>
      </c>
      <c r="E34" s="149">
        <v>17</v>
      </c>
      <c r="F34" s="123" t="str">
        <f t="shared" ref="F34" si="52">"S"&amp;E34&amp;"+"</f>
        <v>S17+</v>
      </c>
      <c r="G34" s="121" t="str">
        <f>G32</f>
        <v>X-DI 32 05</v>
      </c>
      <c r="H34" s="121" t="str">
        <f>H30</f>
        <v>X-CB 005 01</v>
      </c>
      <c r="I34" s="53" t="str">
        <f t="shared" ref="I34" si="53">E34&amp;"a"</f>
        <v>17a</v>
      </c>
      <c r="J34" s="121" t="s">
        <v>56</v>
      </c>
      <c r="K34" s="121" t="s">
        <v>212</v>
      </c>
      <c r="L34" s="53" t="s">
        <v>450</v>
      </c>
      <c r="M34" s="53" t="s">
        <v>440</v>
      </c>
      <c r="N34" s="123" t="str">
        <f ca="1">D34&amp;"/"&amp;F34</f>
        <v>009/S17+</v>
      </c>
      <c r="O34" s="66" t="s">
        <v>518</v>
      </c>
      <c r="P34" s="66">
        <v>15</v>
      </c>
      <c r="Q34" s="124" t="s">
        <v>390</v>
      </c>
      <c r="R34" s="150">
        <v>0</v>
      </c>
    </row>
    <row r="35" spans="1:18" ht="18" customHeight="1" thickBot="1" x14ac:dyDescent="0.3">
      <c r="A35" s="168"/>
      <c r="B35" s="138"/>
      <c r="C35" s="139"/>
      <c r="D35" s="140"/>
      <c r="E35" s="141"/>
      <c r="F35" s="117" t="str">
        <f t="shared" ref="F35" si="54">"DI"&amp;E34&amp;"+"</f>
        <v>DI17+</v>
      </c>
      <c r="G35" s="139"/>
      <c r="H35" s="139"/>
      <c r="I35" s="55" t="str">
        <f t="shared" ref="I35" si="55">E34&amp;"b"</f>
        <v>17b</v>
      </c>
      <c r="J35" s="139"/>
      <c r="K35" s="139"/>
      <c r="L35" s="55" t="s">
        <v>378</v>
      </c>
      <c r="M35" s="55" t="s">
        <v>440</v>
      </c>
      <c r="N35" s="117" t="str">
        <f ca="1">D34&amp;"/"&amp;F35</f>
        <v>009/DI17+</v>
      </c>
      <c r="O35" s="236" t="s">
        <v>518</v>
      </c>
      <c r="P35" s="236">
        <v>16</v>
      </c>
      <c r="Q35" s="142"/>
      <c r="R35" s="151"/>
    </row>
    <row r="36" spans="1:18" ht="18" customHeight="1" thickTop="1" x14ac:dyDescent="0.25">
      <c r="A36" s="169" t="s">
        <v>216</v>
      </c>
      <c r="B36" s="101" t="s">
        <v>215</v>
      </c>
      <c r="C36" s="102" t="s">
        <v>83</v>
      </c>
      <c r="D36" s="143" t="str" cm="1">
        <f t="array" aca="1" ref="D36" ca="1">_xlfn.LET(_xlpm.filepath,CELL("filename",D36),MID(_xlpm.filepath,FIND("]",_xlpm.filepath)+1,3))</f>
        <v>009</v>
      </c>
      <c r="E36" s="144" t="s">
        <v>123</v>
      </c>
      <c r="F36" s="104" t="str">
        <f t="shared" ref="F36" si="56">"S"&amp;E36&amp;"+"</f>
        <v>S18+</v>
      </c>
      <c r="G36" s="102" t="str">
        <f>G34</f>
        <v>X-DI 32 05</v>
      </c>
      <c r="H36" s="102" t="str">
        <f>H34</f>
        <v>X-CB 005 01</v>
      </c>
      <c r="I36" s="58" t="str">
        <f t="shared" ref="I36" si="57">E36&amp;"a"</f>
        <v>18a</v>
      </c>
      <c r="J36" s="102" t="s">
        <v>56</v>
      </c>
      <c r="K36" s="102" t="s">
        <v>466</v>
      </c>
      <c r="L36" s="58" t="s">
        <v>450</v>
      </c>
      <c r="M36" s="58" t="s">
        <v>440</v>
      </c>
      <c r="N36" s="104" t="str">
        <f ca="1">D36&amp;"/"&amp;F36</f>
        <v>009/S18+</v>
      </c>
      <c r="O36" s="234" t="s">
        <v>518</v>
      </c>
      <c r="P36" s="234">
        <v>19</v>
      </c>
      <c r="Q36" s="103" t="s">
        <v>390</v>
      </c>
      <c r="R36" s="105" t="s">
        <v>91</v>
      </c>
    </row>
    <row r="37" spans="1:18" ht="18" customHeight="1" thickBot="1" x14ac:dyDescent="0.3">
      <c r="A37" s="170"/>
      <c r="B37" s="126"/>
      <c r="C37" s="127"/>
      <c r="D37" s="145"/>
      <c r="E37" s="146"/>
      <c r="F37" s="147" t="str">
        <f t="shared" ref="F37" si="58">"DI"&amp;E36&amp;"+"</f>
        <v>DI18+</v>
      </c>
      <c r="G37" s="127"/>
      <c r="H37" s="127"/>
      <c r="I37" s="59" t="str">
        <f t="shared" ref="I37" si="59">E36&amp;"b"</f>
        <v>18b</v>
      </c>
      <c r="J37" s="129"/>
      <c r="K37" s="127"/>
      <c r="L37" s="59" t="s">
        <v>378</v>
      </c>
      <c r="M37" s="59" t="s">
        <v>440</v>
      </c>
      <c r="N37" s="147" t="str">
        <f ca="1">D36&amp;"/"&amp;F37</f>
        <v>009/DI18+</v>
      </c>
      <c r="O37" s="235" t="s">
        <v>518</v>
      </c>
      <c r="P37" s="235">
        <v>20</v>
      </c>
      <c r="Q37" s="128"/>
      <c r="R37" s="130"/>
    </row>
    <row r="38" spans="1:18" ht="18" customHeight="1" thickTop="1" x14ac:dyDescent="0.25">
      <c r="A38" s="171" t="s">
        <v>219</v>
      </c>
      <c r="B38" s="120" t="s">
        <v>218</v>
      </c>
      <c r="C38" s="121" t="s">
        <v>83</v>
      </c>
      <c r="D38" s="148" t="str" cm="1">
        <f t="array" aca="1" ref="D38" ca="1">_xlfn.LET(_xlpm.filepath,CELL("filename",D38),MID(_xlpm.filepath,FIND("]",_xlpm.filepath)+1,3))</f>
        <v>009</v>
      </c>
      <c r="E38" s="149">
        <v>19</v>
      </c>
      <c r="F38" s="123" t="str">
        <f t="shared" ref="F38" si="60">"S"&amp;E38&amp;"+"</f>
        <v>S19+</v>
      </c>
      <c r="G38" s="121" t="str">
        <f>G36</f>
        <v>X-DI 32 05</v>
      </c>
      <c r="H38" s="121" t="str">
        <f>H34</f>
        <v>X-CB 005 01</v>
      </c>
      <c r="I38" s="53" t="str">
        <f t="shared" ref="I38" si="61">E38&amp;"a"</f>
        <v>19a</v>
      </c>
      <c r="J38" s="121" t="s">
        <v>56</v>
      </c>
      <c r="K38" s="121" t="s">
        <v>467</v>
      </c>
      <c r="L38" s="53" t="s">
        <v>450</v>
      </c>
      <c r="M38" s="53" t="s">
        <v>440</v>
      </c>
      <c r="N38" s="123" t="str">
        <f ca="1">D38&amp;"/"&amp;F38</f>
        <v>009/S19+</v>
      </c>
      <c r="O38" s="66" t="s">
        <v>518</v>
      </c>
      <c r="P38" s="66">
        <v>23</v>
      </c>
      <c r="Q38" s="124" t="s">
        <v>390</v>
      </c>
      <c r="R38" s="150">
        <v>0</v>
      </c>
    </row>
    <row r="39" spans="1:18" ht="18" customHeight="1" thickBot="1" x14ac:dyDescent="0.3">
      <c r="A39" s="168"/>
      <c r="B39" s="138"/>
      <c r="C39" s="139"/>
      <c r="D39" s="140"/>
      <c r="E39" s="141"/>
      <c r="F39" s="117" t="str">
        <f t="shared" ref="F39" si="62">"DI"&amp;E38&amp;"+"</f>
        <v>DI19+</v>
      </c>
      <c r="G39" s="139"/>
      <c r="H39" s="139"/>
      <c r="I39" s="55" t="str">
        <f t="shared" ref="I39" si="63">E38&amp;"b"</f>
        <v>19b</v>
      </c>
      <c r="J39" s="139"/>
      <c r="K39" s="139"/>
      <c r="L39" s="55" t="s">
        <v>378</v>
      </c>
      <c r="M39" s="55" t="s">
        <v>440</v>
      </c>
      <c r="N39" s="117" t="str">
        <f ca="1">D38&amp;"/"&amp;F39</f>
        <v>009/DI19+</v>
      </c>
      <c r="O39" s="236" t="s">
        <v>518</v>
      </c>
      <c r="P39" s="236">
        <v>24</v>
      </c>
      <c r="Q39" s="142"/>
      <c r="R39" s="151"/>
    </row>
    <row r="40" spans="1:18" ht="18" customHeight="1" thickTop="1" x14ac:dyDescent="0.25">
      <c r="A40" s="169" t="s">
        <v>222</v>
      </c>
      <c r="B40" s="101" t="s">
        <v>221</v>
      </c>
      <c r="C40" s="102" t="s">
        <v>83</v>
      </c>
      <c r="D40" s="143" t="str" cm="1">
        <f t="array" aca="1" ref="D40" ca="1">_xlfn.LET(_xlpm.filepath,CELL("filename",D40),MID(_xlpm.filepath,FIND("]",_xlpm.filepath)+1,3))</f>
        <v>009</v>
      </c>
      <c r="E40" s="144" t="s">
        <v>128</v>
      </c>
      <c r="F40" s="104" t="str">
        <f t="shared" ref="F40" si="64">"S"&amp;E40&amp;"+"</f>
        <v>S20+</v>
      </c>
      <c r="G40" s="102" t="str">
        <f>G38</f>
        <v>X-DI 32 05</v>
      </c>
      <c r="H40" s="102" t="str">
        <f>H38</f>
        <v>X-CB 005 01</v>
      </c>
      <c r="I40" s="58" t="str">
        <f t="shared" ref="I40" si="65">E40&amp;"a"</f>
        <v>20a</v>
      </c>
      <c r="J40" s="102" t="s">
        <v>56</v>
      </c>
      <c r="K40" s="102" t="s">
        <v>468</v>
      </c>
      <c r="L40" s="58" t="s">
        <v>450</v>
      </c>
      <c r="M40" s="58" t="s">
        <v>440</v>
      </c>
      <c r="N40" s="104" t="str">
        <f ca="1">D40&amp;"/"&amp;F40</f>
        <v>009/S20+</v>
      </c>
      <c r="O40" s="234" t="s">
        <v>518</v>
      </c>
      <c r="P40" s="234">
        <v>27</v>
      </c>
      <c r="Q40" s="103" t="s">
        <v>390</v>
      </c>
      <c r="R40" s="105" t="s">
        <v>91</v>
      </c>
    </row>
    <row r="41" spans="1:18" ht="18" customHeight="1" x14ac:dyDescent="0.25">
      <c r="A41" s="170"/>
      <c r="B41" s="126"/>
      <c r="C41" s="127"/>
      <c r="D41" s="145"/>
      <c r="E41" s="146"/>
      <c r="F41" s="147" t="str">
        <f t="shared" ref="F41" si="66">"DI"&amp;E40&amp;"+"</f>
        <v>DI20+</v>
      </c>
      <c r="G41" s="127"/>
      <c r="H41" s="127"/>
      <c r="I41" s="59" t="str">
        <f t="shared" ref="I41" si="67">E40&amp;"b"</f>
        <v>20b</v>
      </c>
      <c r="J41" s="129"/>
      <c r="K41" s="127"/>
      <c r="L41" s="59" t="s">
        <v>378</v>
      </c>
      <c r="M41" s="59" t="s">
        <v>440</v>
      </c>
      <c r="N41" s="147" t="str">
        <f ca="1">D40&amp;"/"&amp;F41</f>
        <v>009/DI20+</v>
      </c>
      <c r="O41" s="59" t="s">
        <v>518</v>
      </c>
      <c r="P41" s="59">
        <v>28</v>
      </c>
      <c r="Q41" s="128"/>
      <c r="R41" s="130"/>
    </row>
    <row r="42" spans="1:18" ht="18" customHeight="1" x14ac:dyDescent="0.25">
      <c r="A42" s="171" t="s">
        <v>522</v>
      </c>
      <c r="B42" s="120" t="s">
        <v>523</v>
      </c>
      <c r="C42" s="121" t="s">
        <v>83</v>
      </c>
      <c r="D42" s="148" t="str" cm="1">
        <f t="array" aca="1" ref="D42" ca="1">_xlfn.LET(_xlpm.filepath,CELL("filename",D42),MID(_xlpm.filepath,FIND("]",_xlpm.filepath)+1,3))</f>
        <v>009</v>
      </c>
      <c r="E42" s="149">
        <v>21</v>
      </c>
      <c r="F42" s="123" t="str">
        <f t="shared" ref="F42" si="68">"S"&amp;E42&amp;"+"</f>
        <v>S21+</v>
      </c>
      <c r="G42" s="121" t="str">
        <f>G40</f>
        <v>X-DI 32 05</v>
      </c>
      <c r="H42" s="121" t="str">
        <f>H38</f>
        <v>X-CB 005 01</v>
      </c>
      <c r="I42" s="53" t="str">
        <f t="shared" ref="I42" si="69">E42&amp;"a"</f>
        <v>21a</v>
      </c>
      <c r="J42" s="121" t="s">
        <v>75</v>
      </c>
      <c r="K42" s="121" t="s">
        <v>281</v>
      </c>
      <c r="L42" s="53" t="s">
        <v>450</v>
      </c>
      <c r="M42" s="53" t="s">
        <v>440</v>
      </c>
      <c r="N42" s="123" t="str">
        <f ca="1">D42&amp;"/"&amp;F42</f>
        <v>009/S21+</v>
      </c>
      <c r="O42" s="53" t="s">
        <v>524</v>
      </c>
      <c r="P42" s="53">
        <v>3</v>
      </c>
      <c r="Q42" s="124" t="s">
        <v>390</v>
      </c>
      <c r="R42" s="150">
        <v>0</v>
      </c>
    </row>
    <row r="43" spans="1:18" ht="18" customHeight="1" x14ac:dyDescent="0.25">
      <c r="A43" s="168"/>
      <c r="B43" s="138"/>
      <c r="C43" s="139"/>
      <c r="D43" s="140"/>
      <c r="E43" s="141"/>
      <c r="F43" s="117" t="str">
        <f t="shared" ref="F43" si="70">"DI"&amp;E42&amp;"+"</f>
        <v>DI21+</v>
      </c>
      <c r="G43" s="139"/>
      <c r="H43" s="139"/>
      <c r="I43" s="55" t="str">
        <f t="shared" ref="I43" si="71">E42&amp;"b"</f>
        <v>21b</v>
      </c>
      <c r="J43" s="139"/>
      <c r="K43" s="139"/>
      <c r="L43" s="55" t="s">
        <v>378</v>
      </c>
      <c r="M43" s="55" t="s">
        <v>440</v>
      </c>
      <c r="N43" s="117" t="str">
        <f ca="1">D42&amp;"/"&amp;F43</f>
        <v>009/DI21+</v>
      </c>
      <c r="O43" s="55" t="s">
        <v>524</v>
      </c>
      <c r="P43" s="55">
        <v>4</v>
      </c>
      <c r="Q43" s="142"/>
      <c r="R43" s="151"/>
    </row>
    <row r="44" spans="1:18" ht="18" customHeight="1" x14ac:dyDescent="0.25">
      <c r="A44" s="169" t="s">
        <v>525</v>
      </c>
      <c r="B44" s="101" t="s">
        <v>526</v>
      </c>
      <c r="C44" s="102" t="s">
        <v>83</v>
      </c>
      <c r="D44" s="143" t="str" cm="1">
        <f t="array" aca="1" ref="D44" ca="1">_xlfn.LET(_xlpm.filepath,CELL("filename",D44),MID(_xlpm.filepath,FIND("]",_xlpm.filepath)+1,3))</f>
        <v>009</v>
      </c>
      <c r="E44" s="144" t="s">
        <v>132</v>
      </c>
      <c r="F44" s="104" t="str">
        <f t="shared" ref="F44" si="72">"S"&amp;E44&amp;"+"</f>
        <v>S22+</v>
      </c>
      <c r="G44" s="102" t="str">
        <f>G42</f>
        <v>X-DI 32 05</v>
      </c>
      <c r="H44" s="102" t="str">
        <f>H42</f>
        <v>X-CB 005 01</v>
      </c>
      <c r="I44" s="58" t="str">
        <f t="shared" ref="I44" si="73">E44&amp;"a"</f>
        <v>22a</v>
      </c>
      <c r="J44" s="102" t="s">
        <v>75</v>
      </c>
      <c r="K44" s="102" t="s">
        <v>281</v>
      </c>
      <c r="L44" s="58" t="s">
        <v>450</v>
      </c>
      <c r="M44" s="58" t="s">
        <v>440</v>
      </c>
      <c r="N44" s="104" t="str">
        <f ca="1">D44&amp;"/"&amp;F44</f>
        <v>009/S22+</v>
      </c>
      <c r="O44" s="58" t="s">
        <v>524</v>
      </c>
      <c r="P44" s="58">
        <v>5</v>
      </c>
      <c r="Q44" s="103" t="s">
        <v>390</v>
      </c>
      <c r="R44" s="105" t="s">
        <v>91</v>
      </c>
    </row>
    <row r="45" spans="1:18" ht="18" customHeight="1" x14ac:dyDescent="0.25">
      <c r="A45" s="170"/>
      <c r="B45" s="126"/>
      <c r="C45" s="127"/>
      <c r="D45" s="145"/>
      <c r="E45" s="146"/>
      <c r="F45" s="147" t="str">
        <f t="shared" ref="F45" si="74">"DI"&amp;E44&amp;"+"</f>
        <v>DI22+</v>
      </c>
      <c r="G45" s="127"/>
      <c r="H45" s="127"/>
      <c r="I45" s="59" t="str">
        <f t="shared" ref="I45" si="75">E44&amp;"b"</f>
        <v>22b</v>
      </c>
      <c r="J45" s="129"/>
      <c r="K45" s="127"/>
      <c r="L45" s="59" t="s">
        <v>378</v>
      </c>
      <c r="M45" s="59" t="s">
        <v>440</v>
      </c>
      <c r="N45" s="147" t="str">
        <f ca="1">D44&amp;"/"&amp;F45</f>
        <v>009/DI22+</v>
      </c>
      <c r="O45" s="59" t="s">
        <v>524</v>
      </c>
      <c r="P45" s="59">
        <v>6</v>
      </c>
      <c r="Q45" s="128"/>
      <c r="R45" s="130"/>
    </row>
    <row r="46" spans="1:18" ht="18" customHeight="1" x14ac:dyDescent="0.25">
      <c r="A46" s="171" t="s">
        <v>74</v>
      </c>
      <c r="B46" s="120" t="s">
        <v>155</v>
      </c>
      <c r="C46" s="121" t="s">
        <v>83</v>
      </c>
      <c r="D46" s="148" t="str" cm="1">
        <f t="array" aca="1" ref="D46" ca="1">_xlfn.LET(_xlpm.filepath,CELL("filename",D46),MID(_xlpm.filepath,FIND("]",_xlpm.filepath)+1,3))</f>
        <v>009</v>
      </c>
      <c r="E46" s="149">
        <v>23</v>
      </c>
      <c r="F46" s="123" t="str">
        <f t="shared" ref="F46" si="76">"S"&amp;E46&amp;"+"</f>
        <v>S23+</v>
      </c>
      <c r="G46" s="121" t="str">
        <f>G44</f>
        <v>X-DI 32 05</v>
      </c>
      <c r="H46" s="121" t="str">
        <f>H42</f>
        <v>X-CB 005 01</v>
      </c>
      <c r="I46" s="53" t="str">
        <f t="shared" ref="I46" si="77">E46&amp;"a"</f>
        <v>23a</v>
      </c>
      <c r="J46" s="121" t="s">
        <v>75</v>
      </c>
      <c r="K46" s="121" t="s">
        <v>76</v>
      </c>
      <c r="L46" s="53" t="s">
        <v>450</v>
      </c>
      <c r="M46" s="53" t="s">
        <v>440</v>
      </c>
      <c r="N46" s="123" t="str">
        <f ca="1">D46&amp;"/"&amp;F46</f>
        <v>009/S23+</v>
      </c>
      <c r="O46" s="53" t="s">
        <v>485</v>
      </c>
      <c r="P46" s="53">
        <v>1</v>
      </c>
      <c r="Q46" s="124" t="s">
        <v>390</v>
      </c>
      <c r="R46" s="150">
        <v>0</v>
      </c>
    </row>
    <row r="47" spans="1:18" ht="18" customHeight="1" x14ac:dyDescent="0.25">
      <c r="A47" s="168"/>
      <c r="B47" s="138"/>
      <c r="C47" s="139"/>
      <c r="D47" s="140"/>
      <c r="E47" s="141"/>
      <c r="F47" s="117" t="str">
        <f t="shared" ref="F47" si="78">"DI"&amp;E46&amp;"+"</f>
        <v>DI23+</v>
      </c>
      <c r="G47" s="139"/>
      <c r="H47" s="139"/>
      <c r="I47" s="55" t="str">
        <f t="shared" ref="I47" si="79">E46&amp;"b"</f>
        <v>23b</v>
      </c>
      <c r="J47" s="139"/>
      <c r="K47" s="139"/>
      <c r="L47" s="55" t="s">
        <v>378</v>
      </c>
      <c r="M47" s="55" t="s">
        <v>440</v>
      </c>
      <c r="N47" s="117" t="str">
        <f ca="1">D46&amp;"/"&amp;F47</f>
        <v>009/DI23+</v>
      </c>
      <c r="O47" s="55" t="s">
        <v>485</v>
      </c>
      <c r="P47" s="55">
        <v>2</v>
      </c>
      <c r="Q47" s="142"/>
      <c r="R47" s="151"/>
    </row>
    <row r="48" spans="1:18" ht="18" customHeight="1" x14ac:dyDescent="0.25">
      <c r="A48" s="169" t="s">
        <v>77</v>
      </c>
      <c r="B48" s="101" t="s">
        <v>155</v>
      </c>
      <c r="C48" s="102" t="s">
        <v>83</v>
      </c>
      <c r="D48" s="143" t="str" cm="1">
        <f t="array" aca="1" ref="D48" ca="1">_xlfn.LET(_xlpm.filepath,CELL("filename",D48),MID(_xlpm.filepath,FIND("]",_xlpm.filepath)+1,3))</f>
        <v>009</v>
      </c>
      <c r="E48" s="144" t="s">
        <v>137</v>
      </c>
      <c r="F48" s="104" t="str">
        <f t="shared" ref="F48" si="80">"S"&amp;E48&amp;"+"</f>
        <v>S24+</v>
      </c>
      <c r="G48" s="102" t="str">
        <f>G46</f>
        <v>X-DI 32 05</v>
      </c>
      <c r="H48" s="102" t="str">
        <f>H46</f>
        <v>X-CB 005 01</v>
      </c>
      <c r="I48" s="58" t="str">
        <f t="shared" ref="I48" si="81">E48&amp;"a"</f>
        <v>24a</v>
      </c>
      <c r="J48" s="102" t="s">
        <v>75</v>
      </c>
      <c r="K48" s="102" t="s">
        <v>76</v>
      </c>
      <c r="L48" s="58" t="s">
        <v>450</v>
      </c>
      <c r="M48" s="58" t="s">
        <v>440</v>
      </c>
      <c r="N48" s="104" t="str">
        <f ca="1">D48&amp;"/"&amp;F48</f>
        <v>009/S24+</v>
      </c>
      <c r="O48" s="58" t="s">
        <v>485</v>
      </c>
      <c r="P48" s="58">
        <v>3</v>
      </c>
      <c r="Q48" s="103" t="s">
        <v>390</v>
      </c>
      <c r="R48" s="105" t="s">
        <v>91</v>
      </c>
    </row>
    <row r="49" spans="1:20" ht="18" customHeight="1" x14ac:dyDescent="0.25">
      <c r="A49" s="170"/>
      <c r="B49" s="126"/>
      <c r="C49" s="127"/>
      <c r="D49" s="145"/>
      <c r="E49" s="146"/>
      <c r="F49" s="147" t="str">
        <f t="shared" ref="F49" si="82">"DI"&amp;E48&amp;"+"</f>
        <v>DI24+</v>
      </c>
      <c r="G49" s="127"/>
      <c r="H49" s="127"/>
      <c r="I49" s="59" t="str">
        <f t="shared" ref="I49" si="83">E48&amp;"b"</f>
        <v>24b</v>
      </c>
      <c r="J49" s="129"/>
      <c r="K49" s="127"/>
      <c r="L49" s="59" t="s">
        <v>378</v>
      </c>
      <c r="M49" s="59" t="s">
        <v>440</v>
      </c>
      <c r="N49" s="147" t="str">
        <f ca="1">D48&amp;"/"&amp;F49</f>
        <v>009/DI24+</v>
      </c>
      <c r="O49" s="59" t="s">
        <v>485</v>
      </c>
      <c r="P49" s="59">
        <v>4</v>
      </c>
      <c r="Q49" s="128"/>
      <c r="R49" s="130"/>
    </row>
    <row r="50" spans="1:20" ht="18" customHeight="1" x14ac:dyDescent="0.25">
      <c r="A50" s="171" t="s">
        <v>78</v>
      </c>
      <c r="B50" s="120" t="s">
        <v>156</v>
      </c>
      <c r="C50" s="121" t="s">
        <v>83</v>
      </c>
      <c r="D50" s="148" t="str" cm="1">
        <f t="array" aca="1" ref="D50" ca="1">_xlfn.LET(_xlpm.filepath,CELL("filename",D50),MID(_xlpm.filepath,FIND("]",_xlpm.filepath)+1,3))</f>
        <v>009</v>
      </c>
      <c r="E50" s="149">
        <v>25</v>
      </c>
      <c r="F50" s="123" t="str">
        <f t="shared" ref="F50" si="84">"S"&amp;E50&amp;"+"</f>
        <v>S25+</v>
      </c>
      <c r="G50" s="121" t="str">
        <f>G48</f>
        <v>X-DI 32 05</v>
      </c>
      <c r="H50" s="121" t="str">
        <f>H46</f>
        <v>X-CB 005 01</v>
      </c>
      <c r="I50" s="53" t="str">
        <f t="shared" ref="I50" si="85">E50&amp;"a"</f>
        <v>25a</v>
      </c>
      <c r="J50" s="200" t="s">
        <v>75</v>
      </c>
      <c r="K50" s="121" t="s">
        <v>79</v>
      </c>
      <c r="L50" s="53" t="s">
        <v>450</v>
      </c>
      <c r="M50" s="53" t="s">
        <v>440</v>
      </c>
      <c r="N50" s="123" t="str">
        <f ca="1">D50&amp;"/"&amp;F50</f>
        <v>009/S25+</v>
      </c>
      <c r="O50" s="53" t="s">
        <v>485</v>
      </c>
      <c r="P50" s="53">
        <v>5</v>
      </c>
      <c r="Q50" s="124" t="s">
        <v>390</v>
      </c>
      <c r="R50" s="150">
        <v>0</v>
      </c>
    </row>
    <row r="51" spans="1:20" ht="18" customHeight="1" x14ac:dyDescent="0.25">
      <c r="A51" s="168"/>
      <c r="B51" s="138"/>
      <c r="C51" s="139"/>
      <c r="D51" s="140"/>
      <c r="E51" s="141"/>
      <c r="F51" s="117" t="str">
        <f t="shared" ref="F51" si="86">"DI"&amp;E50&amp;"+"</f>
        <v>DI25+</v>
      </c>
      <c r="G51" s="139"/>
      <c r="H51" s="139"/>
      <c r="I51" s="55" t="str">
        <f t="shared" ref="I51" si="87">E50&amp;"b"</f>
        <v>25b</v>
      </c>
      <c r="J51" s="201"/>
      <c r="K51" s="139"/>
      <c r="L51" s="55" t="s">
        <v>378</v>
      </c>
      <c r="M51" s="55" t="s">
        <v>440</v>
      </c>
      <c r="N51" s="117" t="str">
        <f ca="1">D50&amp;"/"&amp;F51</f>
        <v>009/DI25+</v>
      </c>
      <c r="O51" s="55" t="s">
        <v>485</v>
      </c>
      <c r="P51" s="55">
        <v>6</v>
      </c>
      <c r="Q51" s="142"/>
      <c r="R51" s="151"/>
    </row>
    <row r="52" spans="1:20" ht="18" customHeight="1" x14ac:dyDescent="0.25">
      <c r="A52" s="169" t="s">
        <v>80</v>
      </c>
      <c r="B52" s="101" t="s">
        <v>156</v>
      </c>
      <c r="C52" s="102" t="s">
        <v>83</v>
      </c>
      <c r="D52" s="143" t="str" cm="1">
        <f t="array" aca="1" ref="D52" ca="1">_xlfn.LET(_xlpm.filepath,CELL("filename",D52),MID(_xlpm.filepath,FIND("]",_xlpm.filepath)+1,3))</f>
        <v>009</v>
      </c>
      <c r="E52" s="144" t="s">
        <v>141</v>
      </c>
      <c r="F52" s="104" t="str">
        <f t="shared" ref="F52" si="88">"S"&amp;E52&amp;"+"</f>
        <v>S26+</v>
      </c>
      <c r="G52" s="102" t="str">
        <f>G50</f>
        <v>X-DI 32 05</v>
      </c>
      <c r="H52" s="102" t="str">
        <f>H50</f>
        <v>X-CB 005 01</v>
      </c>
      <c r="I52" s="58" t="str">
        <f t="shared" ref="I52" si="89">E52&amp;"a"</f>
        <v>26a</v>
      </c>
      <c r="J52" s="102" t="s">
        <v>75</v>
      </c>
      <c r="K52" s="102" t="s">
        <v>79</v>
      </c>
      <c r="L52" s="58" t="s">
        <v>450</v>
      </c>
      <c r="M52" s="58" t="s">
        <v>440</v>
      </c>
      <c r="N52" s="104" t="str">
        <f ca="1">D52&amp;"/"&amp;F52</f>
        <v>009/S26+</v>
      </c>
      <c r="O52" s="58" t="s">
        <v>485</v>
      </c>
      <c r="P52" s="58">
        <v>7</v>
      </c>
      <c r="Q52" s="103" t="s">
        <v>390</v>
      </c>
      <c r="R52" s="105" t="s">
        <v>91</v>
      </c>
    </row>
    <row r="53" spans="1:20" ht="18" customHeight="1" x14ac:dyDescent="0.25">
      <c r="A53" s="170"/>
      <c r="B53" s="126"/>
      <c r="C53" s="127"/>
      <c r="D53" s="145"/>
      <c r="E53" s="146"/>
      <c r="F53" s="147" t="str">
        <f t="shared" ref="F53" si="90">"DI"&amp;E52&amp;"+"</f>
        <v>DI26+</v>
      </c>
      <c r="G53" s="127"/>
      <c r="H53" s="127"/>
      <c r="I53" s="59" t="str">
        <f t="shared" ref="I53" si="91">E52&amp;"b"</f>
        <v>26b</v>
      </c>
      <c r="J53" s="129"/>
      <c r="K53" s="127"/>
      <c r="L53" s="59" t="s">
        <v>378</v>
      </c>
      <c r="M53" s="59" t="s">
        <v>440</v>
      </c>
      <c r="N53" s="147" t="str">
        <f ca="1">D52&amp;"/"&amp;F53</f>
        <v>009/DI26+</v>
      </c>
      <c r="O53" s="59" t="s">
        <v>485</v>
      </c>
      <c r="P53" s="59">
        <v>8</v>
      </c>
      <c r="Q53" s="128"/>
      <c r="R53" s="130"/>
    </row>
    <row r="54" spans="1:20" ht="18" customHeight="1" x14ac:dyDescent="0.25">
      <c r="A54" s="382" t="s">
        <v>687</v>
      </c>
      <c r="B54" s="414" t="s">
        <v>688</v>
      </c>
      <c r="C54" s="121" t="s">
        <v>83</v>
      </c>
      <c r="D54" s="148" t="str" cm="1">
        <f t="array" aca="1" ref="D54" ca="1">_xlfn.LET(_xlpm.filepath,CELL("filename",D54),MID(_xlpm.filepath,FIND("]",_xlpm.filepath)+1,3))</f>
        <v>009</v>
      </c>
      <c r="E54" s="149">
        <v>27</v>
      </c>
      <c r="F54" s="123" t="str">
        <f t="shared" ref="F54" si="92">"S"&amp;E54&amp;"+"</f>
        <v>S27+</v>
      </c>
      <c r="G54" s="121" t="str">
        <f>G52</f>
        <v>X-DI 32 05</v>
      </c>
      <c r="H54" s="121" t="str">
        <f>H50</f>
        <v>X-CB 005 01</v>
      </c>
      <c r="I54" s="53" t="str">
        <f t="shared" ref="I54" si="93">E54&amp;"a"</f>
        <v>27a</v>
      </c>
      <c r="J54" s="403" t="s">
        <v>63</v>
      </c>
      <c r="K54" s="387" t="s">
        <v>535</v>
      </c>
      <c r="L54" s="53" t="s">
        <v>450</v>
      </c>
      <c r="M54" s="53" t="s">
        <v>440</v>
      </c>
      <c r="N54" s="402" t="s">
        <v>701</v>
      </c>
      <c r="O54" s="422" t="s">
        <v>484</v>
      </c>
      <c r="P54" s="418">
        <v>45</v>
      </c>
      <c r="Q54" s="124" t="s">
        <v>390</v>
      </c>
      <c r="R54" s="379" t="s">
        <v>711</v>
      </c>
      <c r="T54" s="377" t="s">
        <v>712</v>
      </c>
    </row>
    <row r="55" spans="1:20" ht="18" customHeight="1" x14ac:dyDescent="0.25">
      <c r="A55" s="389"/>
      <c r="B55" s="415"/>
      <c r="C55" s="139"/>
      <c r="D55" s="140"/>
      <c r="E55" s="141"/>
      <c r="F55" s="117" t="str">
        <f t="shared" ref="F55" si="94">"DI"&amp;E54&amp;"+"</f>
        <v>DI27+</v>
      </c>
      <c r="G55" s="139"/>
      <c r="H55" s="139"/>
      <c r="I55" s="55" t="str">
        <f t="shared" ref="I55" si="95">E54&amp;"b"</f>
        <v>27b</v>
      </c>
      <c r="J55" s="407"/>
      <c r="K55" s="380"/>
      <c r="L55" s="55" t="s">
        <v>378</v>
      </c>
      <c r="M55" s="55" t="s">
        <v>440</v>
      </c>
      <c r="N55" s="406" t="s">
        <v>702</v>
      </c>
      <c r="O55" s="423" t="s">
        <v>484</v>
      </c>
      <c r="P55" s="419">
        <v>46</v>
      </c>
      <c r="Q55" s="142"/>
      <c r="R55" s="151"/>
    </row>
    <row r="56" spans="1:20" ht="18" customHeight="1" x14ac:dyDescent="0.25">
      <c r="A56" s="382" t="s">
        <v>689</v>
      </c>
      <c r="B56" s="414" t="s">
        <v>690</v>
      </c>
      <c r="C56" s="102" t="s">
        <v>83</v>
      </c>
      <c r="D56" s="143" t="str" cm="1">
        <f t="array" aca="1" ref="D56" ca="1">_xlfn.LET(_xlpm.filepath,CELL("filename",D56),MID(_xlpm.filepath,FIND("]",_xlpm.filepath)+1,3))</f>
        <v>009</v>
      </c>
      <c r="E56" s="144" t="s">
        <v>145</v>
      </c>
      <c r="F56" s="104" t="str">
        <f t="shared" ref="F56" si="96">"S"&amp;E56&amp;"+"</f>
        <v>S28+</v>
      </c>
      <c r="G56" s="102" t="str">
        <f>G54</f>
        <v>X-DI 32 05</v>
      </c>
      <c r="H56" s="102" t="str">
        <f>H54</f>
        <v>X-CB 005 01</v>
      </c>
      <c r="I56" s="58" t="str">
        <f t="shared" ref="I56" si="97">E56&amp;"a"</f>
        <v>28a</v>
      </c>
      <c r="J56" s="403" t="s">
        <v>63</v>
      </c>
      <c r="K56" s="387" t="s">
        <v>697</v>
      </c>
      <c r="L56" s="58" t="s">
        <v>450</v>
      </c>
      <c r="M56" s="58" t="s">
        <v>440</v>
      </c>
      <c r="N56" s="416" t="s">
        <v>703</v>
      </c>
      <c r="O56" s="422" t="s">
        <v>484</v>
      </c>
      <c r="P56" s="418">
        <v>49</v>
      </c>
      <c r="Q56" s="103" t="s">
        <v>390</v>
      </c>
      <c r="R56" s="381" t="s">
        <v>711</v>
      </c>
      <c r="T56" s="377" t="s">
        <v>712</v>
      </c>
    </row>
    <row r="57" spans="1:20" ht="18" customHeight="1" x14ac:dyDescent="0.25">
      <c r="A57" s="389"/>
      <c r="B57" s="415"/>
      <c r="C57" s="127"/>
      <c r="D57" s="145"/>
      <c r="E57" s="146"/>
      <c r="F57" s="147" t="str">
        <f t="shared" ref="F57" si="98">"DI"&amp;E56&amp;"+"</f>
        <v>DI28+</v>
      </c>
      <c r="G57" s="127"/>
      <c r="H57" s="127"/>
      <c r="I57" s="59" t="str">
        <f t="shared" ref="I57" si="99">E56&amp;"b"</f>
        <v>28b</v>
      </c>
      <c r="J57" s="383"/>
      <c r="K57" s="380"/>
      <c r="L57" s="59" t="s">
        <v>378</v>
      </c>
      <c r="M57" s="59" t="s">
        <v>440</v>
      </c>
      <c r="N57" s="417" t="s">
        <v>704</v>
      </c>
      <c r="O57" s="423" t="s">
        <v>484</v>
      </c>
      <c r="P57" s="419">
        <v>50</v>
      </c>
      <c r="Q57" s="128"/>
      <c r="R57" s="130"/>
      <c r="T57" s="293"/>
    </row>
    <row r="58" spans="1:20" ht="18" customHeight="1" x14ac:dyDescent="0.25">
      <c r="A58" s="382" t="s">
        <v>691</v>
      </c>
      <c r="B58" s="414" t="s">
        <v>692</v>
      </c>
      <c r="C58" s="121" t="s">
        <v>83</v>
      </c>
      <c r="D58" s="148" t="str" cm="1">
        <f t="array" aca="1" ref="D58" ca="1">_xlfn.LET(_xlpm.filepath,CELL("filename",D58),MID(_xlpm.filepath,FIND("]",_xlpm.filepath)+1,3))</f>
        <v>009</v>
      </c>
      <c r="E58" s="149">
        <v>29</v>
      </c>
      <c r="F58" s="123" t="str">
        <f t="shared" ref="F58" si="100">"S"&amp;E58&amp;"+"</f>
        <v>S29+</v>
      </c>
      <c r="G58" s="121" t="str">
        <f>G56</f>
        <v>X-DI 32 05</v>
      </c>
      <c r="H58" s="121" t="str">
        <f>H54</f>
        <v>X-CB 005 01</v>
      </c>
      <c r="I58" s="53" t="str">
        <f t="shared" ref="I58:I62" si="101">E58&amp;"a"</f>
        <v>29a</v>
      </c>
      <c r="J58" s="403" t="s">
        <v>63</v>
      </c>
      <c r="K58" s="387" t="s">
        <v>698</v>
      </c>
      <c r="L58" s="53" t="s">
        <v>450</v>
      </c>
      <c r="M58" s="53" t="s">
        <v>440</v>
      </c>
      <c r="N58" s="402" t="s">
        <v>705</v>
      </c>
      <c r="O58" s="422" t="s">
        <v>484</v>
      </c>
      <c r="P58" s="420">
        <v>53</v>
      </c>
      <c r="Q58" s="124" t="s">
        <v>390</v>
      </c>
      <c r="R58" s="379" t="s">
        <v>711</v>
      </c>
      <c r="T58" s="377" t="s">
        <v>712</v>
      </c>
    </row>
    <row r="59" spans="1:20" ht="18" customHeight="1" x14ac:dyDescent="0.25">
      <c r="A59" s="389"/>
      <c r="B59" s="415"/>
      <c r="C59" s="139"/>
      <c r="D59" s="140"/>
      <c r="E59" s="141"/>
      <c r="F59" s="117" t="str">
        <f t="shared" ref="F59" si="102">"DI"&amp;E58&amp;"+"</f>
        <v>DI29+</v>
      </c>
      <c r="G59" s="139"/>
      <c r="H59" s="139"/>
      <c r="I59" s="55" t="str">
        <f t="shared" ref="I59:I63" si="103">E58&amp;"b"</f>
        <v>29b</v>
      </c>
      <c r="J59" s="407"/>
      <c r="K59" s="380"/>
      <c r="L59" s="55" t="s">
        <v>378</v>
      </c>
      <c r="M59" s="55" t="s">
        <v>440</v>
      </c>
      <c r="N59" s="406" t="s">
        <v>706</v>
      </c>
      <c r="O59" s="423" t="s">
        <v>484</v>
      </c>
      <c r="P59" s="421">
        <v>54</v>
      </c>
      <c r="Q59" s="142"/>
      <c r="R59" s="151"/>
      <c r="T59" s="293"/>
    </row>
    <row r="60" spans="1:20" ht="18" customHeight="1" x14ac:dyDescent="0.25">
      <c r="A60" s="382" t="s">
        <v>693</v>
      </c>
      <c r="B60" s="414" t="s">
        <v>694</v>
      </c>
      <c r="C60" s="102" t="s">
        <v>83</v>
      </c>
      <c r="D60" s="143" t="str" cm="1">
        <f t="array" aca="1" ref="D60" ca="1">_xlfn.LET(_xlpm.filepath,CELL("filename",D60),MID(_xlpm.filepath,FIND("]",_xlpm.filepath)+1,3))</f>
        <v>009</v>
      </c>
      <c r="E60" s="144" t="s">
        <v>150</v>
      </c>
      <c r="F60" s="104" t="str">
        <f t="shared" ref="F60" si="104">"S"&amp;E60&amp;"+"</f>
        <v>S30+</v>
      </c>
      <c r="G60" s="102" t="str">
        <f>G58</f>
        <v>X-DI 32 05</v>
      </c>
      <c r="H60" s="102" t="str">
        <f>H58</f>
        <v>X-CB 005 01</v>
      </c>
      <c r="I60" s="58" t="str">
        <f t="shared" ref="I60" si="105">E60&amp;"a"</f>
        <v>30a</v>
      </c>
      <c r="J60" s="403" t="s">
        <v>63</v>
      </c>
      <c r="K60" s="387" t="s">
        <v>699</v>
      </c>
      <c r="L60" s="58" t="s">
        <v>450</v>
      </c>
      <c r="M60" s="58" t="s">
        <v>440</v>
      </c>
      <c r="N60" s="416" t="s">
        <v>707</v>
      </c>
      <c r="O60" s="422" t="s">
        <v>484</v>
      </c>
      <c r="P60" s="418">
        <v>57</v>
      </c>
      <c r="Q60" s="103" t="s">
        <v>390</v>
      </c>
      <c r="R60" s="381" t="s">
        <v>711</v>
      </c>
      <c r="T60" s="377" t="s">
        <v>712</v>
      </c>
    </row>
    <row r="61" spans="1:20" ht="18" customHeight="1" x14ac:dyDescent="0.25">
      <c r="A61" s="389"/>
      <c r="B61" s="415"/>
      <c r="C61" s="127"/>
      <c r="D61" s="145"/>
      <c r="E61" s="146"/>
      <c r="F61" s="147" t="str">
        <f t="shared" ref="F61" si="106">"DI"&amp;E60&amp;"+"</f>
        <v>DI30+</v>
      </c>
      <c r="G61" s="127"/>
      <c r="H61" s="127"/>
      <c r="I61" s="59" t="str">
        <f t="shared" ref="I61" si="107">E60&amp;"b"</f>
        <v>30b</v>
      </c>
      <c r="J61" s="383"/>
      <c r="K61" s="380"/>
      <c r="L61" s="59" t="s">
        <v>378</v>
      </c>
      <c r="M61" s="59" t="s">
        <v>440</v>
      </c>
      <c r="N61" s="417" t="s">
        <v>708</v>
      </c>
      <c r="O61" s="423" t="s">
        <v>484</v>
      </c>
      <c r="P61" s="419">
        <v>58</v>
      </c>
      <c r="Q61" s="128"/>
      <c r="R61" s="130"/>
      <c r="T61" s="293"/>
    </row>
    <row r="62" spans="1:20" ht="18" customHeight="1" x14ac:dyDescent="0.25">
      <c r="A62" s="382" t="s">
        <v>695</v>
      </c>
      <c r="B62" s="414" t="s">
        <v>696</v>
      </c>
      <c r="C62" s="121" t="s">
        <v>83</v>
      </c>
      <c r="D62" s="148" t="str" cm="1">
        <f t="array" aca="1" ref="D62" ca="1">_xlfn.LET(_xlpm.filepath,CELL("filename",D62),MID(_xlpm.filepath,FIND("]",_xlpm.filepath)+1,3))</f>
        <v>009</v>
      </c>
      <c r="E62" s="149">
        <v>31</v>
      </c>
      <c r="F62" s="123" t="str">
        <f t="shared" ref="F62" si="108">"S"&amp;E62&amp;"+"</f>
        <v>S31+</v>
      </c>
      <c r="G62" s="121" t="str">
        <f>G60</f>
        <v>X-DI 32 05</v>
      </c>
      <c r="H62" s="121" t="str">
        <f>H58</f>
        <v>X-CB 005 01</v>
      </c>
      <c r="I62" s="53" t="str">
        <f t="shared" si="101"/>
        <v>31a</v>
      </c>
      <c r="J62" s="403" t="s">
        <v>63</v>
      </c>
      <c r="K62" s="387" t="s">
        <v>700</v>
      </c>
      <c r="L62" s="53" t="s">
        <v>450</v>
      </c>
      <c r="M62" s="53" t="s">
        <v>440</v>
      </c>
      <c r="N62" s="402" t="s">
        <v>709</v>
      </c>
      <c r="O62" s="422" t="s">
        <v>484</v>
      </c>
      <c r="P62" s="418">
        <v>61</v>
      </c>
      <c r="Q62" s="124" t="s">
        <v>390</v>
      </c>
      <c r="R62" s="379" t="s">
        <v>711</v>
      </c>
      <c r="T62" s="377" t="s">
        <v>712</v>
      </c>
    </row>
    <row r="63" spans="1:20" ht="18" customHeight="1" x14ac:dyDescent="0.25">
      <c r="A63" s="389"/>
      <c r="B63" s="415"/>
      <c r="C63" s="139"/>
      <c r="D63" s="140"/>
      <c r="E63" s="141"/>
      <c r="F63" s="117" t="str">
        <f t="shared" ref="F63" si="109">"DI"&amp;E62&amp;"+"</f>
        <v>DI31+</v>
      </c>
      <c r="G63" s="139"/>
      <c r="H63" s="139"/>
      <c r="I63" s="55" t="str">
        <f t="shared" si="103"/>
        <v>31b</v>
      </c>
      <c r="J63" s="407"/>
      <c r="K63" s="380"/>
      <c r="L63" s="55" t="s">
        <v>378</v>
      </c>
      <c r="M63" s="55" t="s">
        <v>440</v>
      </c>
      <c r="N63" s="406" t="s">
        <v>710</v>
      </c>
      <c r="O63" s="423" t="s">
        <v>484</v>
      </c>
      <c r="P63" s="419">
        <v>62</v>
      </c>
      <c r="Q63" s="142"/>
      <c r="R63" s="151"/>
    </row>
    <row r="64" spans="1:20" ht="18" customHeight="1" x14ac:dyDescent="0.25">
      <c r="A64" s="100" t="s">
        <v>624</v>
      </c>
      <c r="B64" s="101" t="s">
        <v>377</v>
      </c>
      <c r="C64" s="102" t="s">
        <v>83</v>
      </c>
      <c r="D64" s="143" t="str" cm="1">
        <f t="array" aca="1" ref="D64" ca="1">_xlfn.LET(_xlpm.filepath,CELL("filename",D64),MID(_xlpm.filepath,FIND("]",_xlpm.filepath)+1,3))</f>
        <v>009</v>
      </c>
      <c r="E64" s="144" t="s">
        <v>154</v>
      </c>
      <c r="F64" s="152" t="str">
        <f t="shared" ref="F64" si="110">"S"&amp;E64&amp;"+"</f>
        <v>S32+</v>
      </c>
      <c r="G64" s="102" t="str">
        <f>G62</f>
        <v>X-DI 32 05</v>
      </c>
      <c r="H64" s="102" t="str">
        <f>H62</f>
        <v>X-CB 005 01</v>
      </c>
      <c r="I64" s="58" t="str">
        <f t="shared" ref="I64" si="111">E64&amp;"a"</f>
        <v>32a</v>
      </c>
      <c r="J64" s="102"/>
      <c r="K64" s="102"/>
      <c r="L64" s="58" t="s">
        <v>450</v>
      </c>
      <c r="M64" s="58" t="s">
        <v>440</v>
      </c>
      <c r="N64" s="103" t="str">
        <f ca="1">D64&amp;"/"&amp;F64</f>
        <v>009/S32+</v>
      </c>
      <c r="O64" s="58" t="s">
        <v>497</v>
      </c>
      <c r="P64" s="275">
        <v>31</v>
      </c>
      <c r="Q64" s="315" t="s">
        <v>465</v>
      </c>
      <c r="R64" s="297" t="s">
        <v>674</v>
      </c>
      <c r="T64" s="285"/>
    </row>
    <row r="65" spans="1:18" ht="18" customHeight="1" thickBot="1" x14ac:dyDescent="0.3">
      <c r="A65" s="153"/>
      <c r="B65" s="154"/>
      <c r="C65" s="155"/>
      <c r="D65" s="156"/>
      <c r="E65" s="157"/>
      <c r="F65" s="158" t="str">
        <f t="shared" ref="F65" si="112">"DI"&amp;E64&amp;"+"</f>
        <v>DI32+</v>
      </c>
      <c r="G65" s="155"/>
      <c r="H65" s="155"/>
      <c r="I65" s="62" t="str">
        <f t="shared" ref="I65" si="113">E64&amp;"b"</f>
        <v>32b</v>
      </c>
      <c r="J65" s="159"/>
      <c r="K65" s="155"/>
      <c r="L65" s="62" t="s">
        <v>378</v>
      </c>
      <c r="M65" s="62" t="s">
        <v>440</v>
      </c>
      <c r="N65" s="160" t="str">
        <f ca="1">D64&amp;"/"&amp;F65</f>
        <v>009/DI32+</v>
      </c>
      <c r="O65" s="62" t="s">
        <v>497</v>
      </c>
      <c r="P65" s="276">
        <v>32</v>
      </c>
      <c r="Q65" s="160"/>
      <c r="R65" s="161"/>
    </row>
  </sheetData>
  <pageMargins left="0.23622047244094491" right="0.23622047244094491" top="0.74803149606299213" bottom="0.74803149606299213" header="0.31496062992125984" footer="0.31496062992125984"/>
  <pageSetup paperSize="8" scale="72" fitToHeight="2" orientation="landscape" verticalDpi="1200" r:id="rId1"/>
  <headerFooter scaleWithDoc="0">
    <oddHeader>&amp;CSlot/Type: &amp;A</oddHeader>
    <oddFooter>&amp;L&amp;F&amp;R&amp;P of &amp;N</oddFooter>
  </headerFooter>
  <rowBreaks count="1" manualBreakCount="1">
    <brk id="3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976B-1DA0-41AF-9651-F8A04594B911}">
  <sheetPr>
    <pageSetUpPr fitToPage="1"/>
  </sheetPr>
  <dimension ref="A1:Z54"/>
  <sheetViews>
    <sheetView view="pageBreakPreview" topLeftCell="A14" zoomScaleNormal="100" zoomScaleSheetLayoutView="100" workbookViewId="0">
      <selection activeCell="M30" sqref="M30"/>
    </sheetView>
  </sheetViews>
  <sheetFormatPr defaultRowHeight="15" x14ac:dyDescent="0.25"/>
  <cols>
    <col min="1" max="1" width="26.42578125" bestFit="1" customWidth="1"/>
    <col min="2" max="2" width="57.140625" style="13" customWidth="1"/>
    <col min="4" max="4" width="9.140625" style="51"/>
    <col min="5" max="5" width="9.5703125" style="50" customWidth="1"/>
    <col min="7" max="7" width="11.140625" customWidth="1"/>
    <col min="8" max="8" width="14.140625" customWidth="1"/>
    <col min="9" max="9" width="7" bestFit="1" customWidth="1"/>
    <col min="10" max="10" width="8.5703125" customWidth="1"/>
    <col min="11" max="11" width="15.7109375" bestFit="1" customWidth="1"/>
    <col min="12" max="12" width="10.42578125" bestFit="1" customWidth="1"/>
    <col min="13" max="13" width="8.5703125" customWidth="1"/>
    <col min="14" max="14" width="10.42578125" bestFit="1" customWidth="1"/>
    <col min="15" max="15" width="8.5703125" customWidth="1"/>
    <col min="16" max="16" width="19.5703125" bestFit="1" customWidth="1"/>
    <col min="17" max="17" width="18.85546875" customWidth="1"/>
    <col min="19" max="19" width="15.7109375" bestFit="1" customWidth="1"/>
    <col min="20" max="20" width="13.28515625" customWidth="1"/>
    <col min="21" max="21" width="22.85546875" bestFit="1" customWidth="1"/>
    <col min="22" max="22" width="7.140625" style="12" customWidth="1"/>
    <col min="23" max="23" width="8" customWidth="1"/>
    <col min="256" max="256" width="21.42578125" customWidth="1"/>
    <col min="257" max="257" width="57.140625" customWidth="1"/>
    <col min="262" max="262" width="11.140625" customWidth="1"/>
    <col min="263" max="263" width="14.140625" customWidth="1"/>
    <col min="264" max="264" width="14.42578125" customWidth="1"/>
    <col min="265" max="265" width="14.28515625" customWidth="1"/>
    <col min="267" max="272" width="13.28515625" customWidth="1"/>
    <col min="273" max="273" width="14.42578125" customWidth="1"/>
    <col min="274" max="274" width="7.140625" customWidth="1"/>
    <col min="275" max="275" width="8" customWidth="1"/>
    <col min="512" max="512" width="21.42578125" customWidth="1"/>
    <col min="513" max="513" width="57.140625" customWidth="1"/>
    <col min="518" max="518" width="11.140625" customWidth="1"/>
    <col min="519" max="519" width="14.140625" customWidth="1"/>
    <col min="520" max="520" width="14.42578125" customWidth="1"/>
    <col min="521" max="521" width="14.28515625" customWidth="1"/>
    <col min="523" max="528" width="13.28515625" customWidth="1"/>
    <col min="529" max="529" width="14.42578125" customWidth="1"/>
    <col min="530" max="530" width="7.140625" customWidth="1"/>
    <col min="531" max="531" width="8" customWidth="1"/>
    <col min="768" max="768" width="21.42578125" customWidth="1"/>
    <col min="769" max="769" width="57.140625" customWidth="1"/>
    <col min="774" max="774" width="11.140625" customWidth="1"/>
    <col min="775" max="775" width="14.140625" customWidth="1"/>
    <col min="776" max="776" width="14.42578125" customWidth="1"/>
    <col min="777" max="777" width="14.28515625" customWidth="1"/>
    <col min="779" max="784" width="13.28515625" customWidth="1"/>
    <col min="785" max="785" width="14.42578125" customWidth="1"/>
    <col min="786" max="786" width="7.140625" customWidth="1"/>
    <col min="787" max="787" width="8" customWidth="1"/>
    <col min="1024" max="1024" width="21.42578125" customWidth="1"/>
    <col min="1025" max="1025" width="57.140625" customWidth="1"/>
    <col min="1030" max="1030" width="11.140625" customWidth="1"/>
    <col min="1031" max="1031" width="14.140625" customWidth="1"/>
    <col min="1032" max="1032" width="14.42578125" customWidth="1"/>
    <col min="1033" max="1033" width="14.28515625" customWidth="1"/>
    <col min="1035" max="1040" width="13.28515625" customWidth="1"/>
    <col min="1041" max="1041" width="14.42578125" customWidth="1"/>
    <col min="1042" max="1042" width="7.140625" customWidth="1"/>
    <col min="1043" max="1043" width="8" customWidth="1"/>
    <col min="1280" max="1280" width="21.42578125" customWidth="1"/>
    <col min="1281" max="1281" width="57.140625" customWidth="1"/>
    <col min="1286" max="1286" width="11.140625" customWidth="1"/>
    <col min="1287" max="1287" width="14.140625" customWidth="1"/>
    <col min="1288" max="1288" width="14.42578125" customWidth="1"/>
    <col min="1289" max="1289" width="14.28515625" customWidth="1"/>
    <col min="1291" max="1296" width="13.28515625" customWidth="1"/>
    <col min="1297" max="1297" width="14.42578125" customWidth="1"/>
    <col min="1298" max="1298" width="7.140625" customWidth="1"/>
    <col min="1299" max="1299" width="8" customWidth="1"/>
    <col min="1536" max="1536" width="21.42578125" customWidth="1"/>
    <col min="1537" max="1537" width="57.140625" customWidth="1"/>
    <col min="1542" max="1542" width="11.140625" customWidth="1"/>
    <col min="1543" max="1543" width="14.140625" customWidth="1"/>
    <col min="1544" max="1544" width="14.42578125" customWidth="1"/>
    <col min="1545" max="1545" width="14.28515625" customWidth="1"/>
    <col min="1547" max="1552" width="13.28515625" customWidth="1"/>
    <col min="1553" max="1553" width="14.42578125" customWidth="1"/>
    <col min="1554" max="1554" width="7.140625" customWidth="1"/>
    <col min="1555" max="1555" width="8" customWidth="1"/>
    <col min="1792" max="1792" width="21.42578125" customWidth="1"/>
    <col min="1793" max="1793" width="57.140625" customWidth="1"/>
    <col min="1798" max="1798" width="11.140625" customWidth="1"/>
    <col min="1799" max="1799" width="14.140625" customWidth="1"/>
    <col min="1800" max="1800" width="14.42578125" customWidth="1"/>
    <col min="1801" max="1801" width="14.28515625" customWidth="1"/>
    <col min="1803" max="1808" width="13.28515625" customWidth="1"/>
    <col min="1809" max="1809" width="14.42578125" customWidth="1"/>
    <col min="1810" max="1810" width="7.140625" customWidth="1"/>
    <col min="1811" max="1811" width="8" customWidth="1"/>
    <col min="2048" max="2048" width="21.42578125" customWidth="1"/>
    <col min="2049" max="2049" width="57.140625" customWidth="1"/>
    <col min="2054" max="2054" width="11.140625" customWidth="1"/>
    <col min="2055" max="2055" width="14.140625" customWidth="1"/>
    <col min="2056" max="2056" width="14.42578125" customWidth="1"/>
    <col min="2057" max="2057" width="14.28515625" customWidth="1"/>
    <col min="2059" max="2064" width="13.28515625" customWidth="1"/>
    <col min="2065" max="2065" width="14.42578125" customWidth="1"/>
    <col min="2066" max="2066" width="7.140625" customWidth="1"/>
    <col min="2067" max="2067" width="8" customWidth="1"/>
    <col min="2304" max="2304" width="21.42578125" customWidth="1"/>
    <col min="2305" max="2305" width="57.140625" customWidth="1"/>
    <col min="2310" max="2310" width="11.140625" customWidth="1"/>
    <col min="2311" max="2311" width="14.140625" customWidth="1"/>
    <col min="2312" max="2312" width="14.42578125" customWidth="1"/>
    <col min="2313" max="2313" width="14.28515625" customWidth="1"/>
    <col min="2315" max="2320" width="13.28515625" customWidth="1"/>
    <col min="2321" max="2321" width="14.42578125" customWidth="1"/>
    <col min="2322" max="2322" width="7.140625" customWidth="1"/>
    <col min="2323" max="2323" width="8" customWidth="1"/>
    <col min="2560" max="2560" width="21.42578125" customWidth="1"/>
    <col min="2561" max="2561" width="57.140625" customWidth="1"/>
    <col min="2566" max="2566" width="11.140625" customWidth="1"/>
    <col min="2567" max="2567" width="14.140625" customWidth="1"/>
    <col min="2568" max="2568" width="14.42578125" customWidth="1"/>
    <col min="2569" max="2569" width="14.28515625" customWidth="1"/>
    <col min="2571" max="2576" width="13.28515625" customWidth="1"/>
    <col min="2577" max="2577" width="14.42578125" customWidth="1"/>
    <col min="2578" max="2578" width="7.140625" customWidth="1"/>
    <col min="2579" max="2579" width="8" customWidth="1"/>
    <col min="2816" max="2816" width="21.42578125" customWidth="1"/>
    <col min="2817" max="2817" width="57.140625" customWidth="1"/>
    <col min="2822" max="2822" width="11.140625" customWidth="1"/>
    <col min="2823" max="2823" width="14.140625" customWidth="1"/>
    <col min="2824" max="2824" width="14.42578125" customWidth="1"/>
    <col min="2825" max="2825" width="14.28515625" customWidth="1"/>
    <col min="2827" max="2832" width="13.28515625" customWidth="1"/>
    <col min="2833" max="2833" width="14.42578125" customWidth="1"/>
    <col min="2834" max="2834" width="7.140625" customWidth="1"/>
    <col min="2835" max="2835" width="8" customWidth="1"/>
    <col min="3072" max="3072" width="21.42578125" customWidth="1"/>
    <col min="3073" max="3073" width="57.140625" customWidth="1"/>
    <col min="3078" max="3078" width="11.140625" customWidth="1"/>
    <col min="3079" max="3079" width="14.140625" customWidth="1"/>
    <col min="3080" max="3080" width="14.42578125" customWidth="1"/>
    <col min="3081" max="3081" width="14.28515625" customWidth="1"/>
    <col min="3083" max="3088" width="13.28515625" customWidth="1"/>
    <col min="3089" max="3089" width="14.42578125" customWidth="1"/>
    <col min="3090" max="3090" width="7.140625" customWidth="1"/>
    <col min="3091" max="3091" width="8" customWidth="1"/>
    <col min="3328" max="3328" width="21.42578125" customWidth="1"/>
    <col min="3329" max="3329" width="57.140625" customWidth="1"/>
    <col min="3334" max="3334" width="11.140625" customWidth="1"/>
    <col min="3335" max="3335" width="14.140625" customWidth="1"/>
    <col min="3336" max="3336" width="14.42578125" customWidth="1"/>
    <col min="3337" max="3337" width="14.28515625" customWidth="1"/>
    <col min="3339" max="3344" width="13.28515625" customWidth="1"/>
    <col min="3345" max="3345" width="14.42578125" customWidth="1"/>
    <col min="3346" max="3346" width="7.140625" customWidth="1"/>
    <col min="3347" max="3347" width="8" customWidth="1"/>
    <col min="3584" max="3584" width="21.42578125" customWidth="1"/>
    <col min="3585" max="3585" width="57.140625" customWidth="1"/>
    <col min="3590" max="3590" width="11.140625" customWidth="1"/>
    <col min="3591" max="3591" width="14.140625" customWidth="1"/>
    <col min="3592" max="3592" width="14.42578125" customWidth="1"/>
    <col min="3593" max="3593" width="14.28515625" customWidth="1"/>
    <col min="3595" max="3600" width="13.28515625" customWidth="1"/>
    <col min="3601" max="3601" width="14.42578125" customWidth="1"/>
    <col min="3602" max="3602" width="7.140625" customWidth="1"/>
    <col min="3603" max="3603" width="8" customWidth="1"/>
    <col min="3840" max="3840" width="21.42578125" customWidth="1"/>
    <col min="3841" max="3841" width="57.140625" customWidth="1"/>
    <col min="3846" max="3846" width="11.140625" customWidth="1"/>
    <col min="3847" max="3847" width="14.140625" customWidth="1"/>
    <col min="3848" max="3848" width="14.42578125" customWidth="1"/>
    <col min="3849" max="3849" width="14.28515625" customWidth="1"/>
    <col min="3851" max="3856" width="13.28515625" customWidth="1"/>
    <col min="3857" max="3857" width="14.42578125" customWidth="1"/>
    <col min="3858" max="3858" width="7.140625" customWidth="1"/>
    <col min="3859" max="3859" width="8" customWidth="1"/>
    <col min="4096" max="4096" width="21.42578125" customWidth="1"/>
    <col min="4097" max="4097" width="57.140625" customWidth="1"/>
    <col min="4102" max="4102" width="11.140625" customWidth="1"/>
    <col min="4103" max="4103" width="14.140625" customWidth="1"/>
    <col min="4104" max="4104" width="14.42578125" customWidth="1"/>
    <col min="4105" max="4105" width="14.28515625" customWidth="1"/>
    <col min="4107" max="4112" width="13.28515625" customWidth="1"/>
    <col min="4113" max="4113" width="14.42578125" customWidth="1"/>
    <col min="4114" max="4114" width="7.140625" customWidth="1"/>
    <col min="4115" max="4115" width="8" customWidth="1"/>
    <col min="4352" max="4352" width="21.42578125" customWidth="1"/>
    <col min="4353" max="4353" width="57.140625" customWidth="1"/>
    <col min="4358" max="4358" width="11.140625" customWidth="1"/>
    <col min="4359" max="4359" width="14.140625" customWidth="1"/>
    <col min="4360" max="4360" width="14.42578125" customWidth="1"/>
    <col min="4361" max="4361" width="14.28515625" customWidth="1"/>
    <col min="4363" max="4368" width="13.28515625" customWidth="1"/>
    <col min="4369" max="4369" width="14.42578125" customWidth="1"/>
    <col min="4370" max="4370" width="7.140625" customWidth="1"/>
    <col min="4371" max="4371" width="8" customWidth="1"/>
    <col min="4608" max="4608" width="21.42578125" customWidth="1"/>
    <col min="4609" max="4609" width="57.140625" customWidth="1"/>
    <col min="4614" max="4614" width="11.140625" customWidth="1"/>
    <col min="4615" max="4615" width="14.140625" customWidth="1"/>
    <col min="4616" max="4616" width="14.42578125" customWidth="1"/>
    <col min="4617" max="4617" width="14.28515625" customWidth="1"/>
    <col min="4619" max="4624" width="13.28515625" customWidth="1"/>
    <col min="4625" max="4625" width="14.42578125" customWidth="1"/>
    <col min="4626" max="4626" width="7.140625" customWidth="1"/>
    <col min="4627" max="4627" width="8" customWidth="1"/>
    <col min="4864" max="4864" width="21.42578125" customWidth="1"/>
    <col min="4865" max="4865" width="57.140625" customWidth="1"/>
    <col min="4870" max="4870" width="11.140625" customWidth="1"/>
    <col min="4871" max="4871" width="14.140625" customWidth="1"/>
    <col min="4872" max="4872" width="14.42578125" customWidth="1"/>
    <col min="4873" max="4873" width="14.28515625" customWidth="1"/>
    <col min="4875" max="4880" width="13.28515625" customWidth="1"/>
    <col min="4881" max="4881" width="14.42578125" customWidth="1"/>
    <col min="4882" max="4882" width="7.140625" customWidth="1"/>
    <col min="4883" max="4883" width="8" customWidth="1"/>
    <col min="5120" max="5120" width="21.42578125" customWidth="1"/>
    <col min="5121" max="5121" width="57.140625" customWidth="1"/>
    <col min="5126" max="5126" width="11.140625" customWidth="1"/>
    <col min="5127" max="5127" width="14.140625" customWidth="1"/>
    <col min="5128" max="5128" width="14.42578125" customWidth="1"/>
    <col min="5129" max="5129" width="14.28515625" customWidth="1"/>
    <col min="5131" max="5136" width="13.28515625" customWidth="1"/>
    <col min="5137" max="5137" width="14.42578125" customWidth="1"/>
    <col min="5138" max="5138" width="7.140625" customWidth="1"/>
    <col min="5139" max="5139" width="8" customWidth="1"/>
    <col min="5376" max="5376" width="21.42578125" customWidth="1"/>
    <col min="5377" max="5377" width="57.140625" customWidth="1"/>
    <col min="5382" max="5382" width="11.140625" customWidth="1"/>
    <col min="5383" max="5383" width="14.140625" customWidth="1"/>
    <col min="5384" max="5384" width="14.42578125" customWidth="1"/>
    <col min="5385" max="5385" width="14.28515625" customWidth="1"/>
    <col min="5387" max="5392" width="13.28515625" customWidth="1"/>
    <col min="5393" max="5393" width="14.42578125" customWidth="1"/>
    <col min="5394" max="5394" width="7.140625" customWidth="1"/>
    <col min="5395" max="5395" width="8" customWidth="1"/>
    <col min="5632" max="5632" width="21.42578125" customWidth="1"/>
    <col min="5633" max="5633" width="57.140625" customWidth="1"/>
    <col min="5638" max="5638" width="11.140625" customWidth="1"/>
    <col min="5639" max="5639" width="14.140625" customWidth="1"/>
    <col min="5640" max="5640" width="14.42578125" customWidth="1"/>
    <col min="5641" max="5641" width="14.28515625" customWidth="1"/>
    <col min="5643" max="5648" width="13.28515625" customWidth="1"/>
    <col min="5649" max="5649" width="14.42578125" customWidth="1"/>
    <col min="5650" max="5650" width="7.140625" customWidth="1"/>
    <col min="5651" max="5651" width="8" customWidth="1"/>
    <col min="5888" max="5888" width="21.42578125" customWidth="1"/>
    <col min="5889" max="5889" width="57.140625" customWidth="1"/>
    <col min="5894" max="5894" width="11.140625" customWidth="1"/>
    <col min="5895" max="5895" width="14.140625" customWidth="1"/>
    <col min="5896" max="5896" width="14.42578125" customWidth="1"/>
    <col min="5897" max="5897" width="14.28515625" customWidth="1"/>
    <col min="5899" max="5904" width="13.28515625" customWidth="1"/>
    <col min="5905" max="5905" width="14.42578125" customWidth="1"/>
    <col min="5906" max="5906" width="7.140625" customWidth="1"/>
    <col min="5907" max="5907" width="8" customWidth="1"/>
    <col min="6144" max="6144" width="21.42578125" customWidth="1"/>
    <col min="6145" max="6145" width="57.140625" customWidth="1"/>
    <col min="6150" max="6150" width="11.140625" customWidth="1"/>
    <col min="6151" max="6151" width="14.140625" customWidth="1"/>
    <col min="6152" max="6152" width="14.42578125" customWidth="1"/>
    <col min="6153" max="6153" width="14.28515625" customWidth="1"/>
    <col min="6155" max="6160" width="13.28515625" customWidth="1"/>
    <col min="6161" max="6161" width="14.42578125" customWidth="1"/>
    <col min="6162" max="6162" width="7.140625" customWidth="1"/>
    <col min="6163" max="6163" width="8" customWidth="1"/>
    <col min="6400" max="6400" width="21.42578125" customWidth="1"/>
    <col min="6401" max="6401" width="57.140625" customWidth="1"/>
    <col min="6406" max="6406" width="11.140625" customWidth="1"/>
    <col min="6407" max="6407" width="14.140625" customWidth="1"/>
    <col min="6408" max="6408" width="14.42578125" customWidth="1"/>
    <col min="6409" max="6409" width="14.28515625" customWidth="1"/>
    <col min="6411" max="6416" width="13.28515625" customWidth="1"/>
    <col min="6417" max="6417" width="14.42578125" customWidth="1"/>
    <col min="6418" max="6418" width="7.140625" customWidth="1"/>
    <col min="6419" max="6419" width="8" customWidth="1"/>
    <col min="6656" max="6656" width="21.42578125" customWidth="1"/>
    <col min="6657" max="6657" width="57.140625" customWidth="1"/>
    <col min="6662" max="6662" width="11.140625" customWidth="1"/>
    <col min="6663" max="6663" width="14.140625" customWidth="1"/>
    <col min="6664" max="6664" width="14.42578125" customWidth="1"/>
    <col min="6665" max="6665" width="14.28515625" customWidth="1"/>
    <col min="6667" max="6672" width="13.28515625" customWidth="1"/>
    <col min="6673" max="6673" width="14.42578125" customWidth="1"/>
    <col min="6674" max="6674" width="7.140625" customWidth="1"/>
    <col min="6675" max="6675" width="8" customWidth="1"/>
    <col min="6912" max="6912" width="21.42578125" customWidth="1"/>
    <col min="6913" max="6913" width="57.140625" customWidth="1"/>
    <col min="6918" max="6918" width="11.140625" customWidth="1"/>
    <col min="6919" max="6919" width="14.140625" customWidth="1"/>
    <col min="6920" max="6920" width="14.42578125" customWidth="1"/>
    <col min="6921" max="6921" width="14.28515625" customWidth="1"/>
    <col min="6923" max="6928" width="13.28515625" customWidth="1"/>
    <col min="6929" max="6929" width="14.42578125" customWidth="1"/>
    <col min="6930" max="6930" width="7.140625" customWidth="1"/>
    <col min="6931" max="6931" width="8" customWidth="1"/>
    <col min="7168" max="7168" width="21.42578125" customWidth="1"/>
    <col min="7169" max="7169" width="57.140625" customWidth="1"/>
    <col min="7174" max="7174" width="11.140625" customWidth="1"/>
    <col min="7175" max="7175" width="14.140625" customWidth="1"/>
    <col min="7176" max="7176" width="14.42578125" customWidth="1"/>
    <col min="7177" max="7177" width="14.28515625" customWidth="1"/>
    <col min="7179" max="7184" width="13.28515625" customWidth="1"/>
    <col min="7185" max="7185" width="14.42578125" customWidth="1"/>
    <col min="7186" max="7186" width="7.140625" customWidth="1"/>
    <col min="7187" max="7187" width="8" customWidth="1"/>
    <col min="7424" max="7424" width="21.42578125" customWidth="1"/>
    <col min="7425" max="7425" width="57.140625" customWidth="1"/>
    <col min="7430" max="7430" width="11.140625" customWidth="1"/>
    <col min="7431" max="7431" width="14.140625" customWidth="1"/>
    <col min="7432" max="7432" width="14.42578125" customWidth="1"/>
    <col min="7433" max="7433" width="14.28515625" customWidth="1"/>
    <col min="7435" max="7440" width="13.28515625" customWidth="1"/>
    <col min="7441" max="7441" width="14.42578125" customWidth="1"/>
    <col min="7442" max="7442" width="7.140625" customWidth="1"/>
    <col min="7443" max="7443" width="8" customWidth="1"/>
    <col min="7680" max="7680" width="21.42578125" customWidth="1"/>
    <col min="7681" max="7681" width="57.140625" customWidth="1"/>
    <col min="7686" max="7686" width="11.140625" customWidth="1"/>
    <col min="7687" max="7687" width="14.140625" customWidth="1"/>
    <col min="7688" max="7688" width="14.42578125" customWidth="1"/>
    <col min="7689" max="7689" width="14.28515625" customWidth="1"/>
    <col min="7691" max="7696" width="13.28515625" customWidth="1"/>
    <col min="7697" max="7697" width="14.42578125" customWidth="1"/>
    <col min="7698" max="7698" width="7.140625" customWidth="1"/>
    <col min="7699" max="7699" width="8" customWidth="1"/>
    <col min="7936" max="7936" width="21.42578125" customWidth="1"/>
    <col min="7937" max="7937" width="57.140625" customWidth="1"/>
    <col min="7942" max="7942" width="11.140625" customWidth="1"/>
    <col min="7943" max="7943" width="14.140625" customWidth="1"/>
    <col min="7944" max="7944" width="14.42578125" customWidth="1"/>
    <col min="7945" max="7945" width="14.28515625" customWidth="1"/>
    <col min="7947" max="7952" width="13.28515625" customWidth="1"/>
    <col min="7953" max="7953" width="14.42578125" customWidth="1"/>
    <col min="7954" max="7954" width="7.140625" customWidth="1"/>
    <col min="7955" max="7955" width="8" customWidth="1"/>
    <col min="8192" max="8192" width="21.42578125" customWidth="1"/>
    <col min="8193" max="8193" width="57.140625" customWidth="1"/>
    <col min="8198" max="8198" width="11.140625" customWidth="1"/>
    <col min="8199" max="8199" width="14.140625" customWidth="1"/>
    <col min="8200" max="8200" width="14.42578125" customWidth="1"/>
    <col min="8201" max="8201" width="14.28515625" customWidth="1"/>
    <col min="8203" max="8208" width="13.28515625" customWidth="1"/>
    <col min="8209" max="8209" width="14.42578125" customWidth="1"/>
    <col min="8210" max="8210" width="7.140625" customWidth="1"/>
    <col min="8211" max="8211" width="8" customWidth="1"/>
    <col min="8448" max="8448" width="21.42578125" customWidth="1"/>
    <col min="8449" max="8449" width="57.140625" customWidth="1"/>
    <col min="8454" max="8454" width="11.140625" customWidth="1"/>
    <col min="8455" max="8455" width="14.140625" customWidth="1"/>
    <col min="8456" max="8456" width="14.42578125" customWidth="1"/>
    <col min="8457" max="8457" width="14.28515625" customWidth="1"/>
    <col min="8459" max="8464" width="13.28515625" customWidth="1"/>
    <col min="8465" max="8465" width="14.42578125" customWidth="1"/>
    <col min="8466" max="8466" width="7.140625" customWidth="1"/>
    <col min="8467" max="8467" width="8" customWidth="1"/>
    <col min="8704" max="8704" width="21.42578125" customWidth="1"/>
    <col min="8705" max="8705" width="57.140625" customWidth="1"/>
    <col min="8710" max="8710" width="11.140625" customWidth="1"/>
    <col min="8711" max="8711" width="14.140625" customWidth="1"/>
    <col min="8712" max="8712" width="14.42578125" customWidth="1"/>
    <col min="8713" max="8713" width="14.28515625" customWidth="1"/>
    <col min="8715" max="8720" width="13.28515625" customWidth="1"/>
    <col min="8721" max="8721" width="14.42578125" customWidth="1"/>
    <col min="8722" max="8722" width="7.140625" customWidth="1"/>
    <col min="8723" max="8723" width="8" customWidth="1"/>
    <col min="8960" max="8960" width="21.42578125" customWidth="1"/>
    <col min="8961" max="8961" width="57.140625" customWidth="1"/>
    <col min="8966" max="8966" width="11.140625" customWidth="1"/>
    <col min="8967" max="8967" width="14.140625" customWidth="1"/>
    <col min="8968" max="8968" width="14.42578125" customWidth="1"/>
    <col min="8969" max="8969" width="14.28515625" customWidth="1"/>
    <col min="8971" max="8976" width="13.28515625" customWidth="1"/>
    <col min="8977" max="8977" width="14.42578125" customWidth="1"/>
    <col min="8978" max="8978" width="7.140625" customWidth="1"/>
    <col min="8979" max="8979" width="8" customWidth="1"/>
    <col min="9216" max="9216" width="21.42578125" customWidth="1"/>
    <col min="9217" max="9217" width="57.140625" customWidth="1"/>
    <col min="9222" max="9222" width="11.140625" customWidth="1"/>
    <col min="9223" max="9223" width="14.140625" customWidth="1"/>
    <col min="9224" max="9224" width="14.42578125" customWidth="1"/>
    <col min="9225" max="9225" width="14.28515625" customWidth="1"/>
    <col min="9227" max="9232" width="13.28515625" customWidth="1"/>
    <col min="9233" max="9233" width="14.42578125" customWidth="1"/>
    <col min="9234" max="9234" width="7.140625" customWidth="1"/>
    <col min="9235" max="9235" width="8" customWidth="1"/>
    <col min="9472" max="9472" width="21.42578125" customWidth="1"/>
    <col min="9473" max="9473" width="57.140625" customWidth="1"/>
    <col min="9478" max="9478" width="11.140625" customWidth="1"/>
    <col min="9479" max="9479" width="14.140625" customWidth="1"/>
    <col min="9480" max="9480" width="14.42578125" customWidth="1"/>
    <col min="9481" max="9481" width="14.28515625" customWidth="1"/>
    <col min="9483" max="9488" width="13.28515625" customWidth="1"/>
    <col min="9489" max="9489" width="14.42578125" customWidth="1"/>
    <col min="9490" max="9490" width="7.140625" customWidth="1"/>
    <col min="9491" max="9491" width="8" customWidth="1"/>
    <col min="9728" max="9728" width="21.42578125" customWidth="1"/>
    <col min="9729" max="9729" width="57.140625" customWidth="1"/>
    <col min="9734" max="9734" width="11.140625" customWidth="1"/>
    <col min="9735" max="9735" width="14.140625" customWidth="1"/>
    <col min="9736" max="9736" width="14.42578125" customWidth="1"/>
    <col min="9737" max="9737" width="14.28515625" customWidth="1"/>
    <col min="9739" max="9744" width="13.28515625" customWidth="1"/>
    <col min="9745" max="9745" width="14.42578125" customWidth="1"/>
    <col min="9746" max="9746" width="7.140625" customWidth="1"/>
    <col min="9747" max="9747" width="8" customWidth="1"/>
    <col min="9984" max="9984" width="21.42578125" customWidth="1"/>
    <col min="9985" max="9985" width="57.140625" customWidth="1"/>
    <col min="9990" max="9990" width="11.140625" customWidth="1"/>
    <col min="9991" max="9991" width="14.140625" customWidth="1"/>
    <col min="9992" max="9992" width="14.42578125" customWidth="1"/>
    <col min="9993" max="9993" width="14.28515625" customWidth="1"/>
    <col min="9995" max="10000" width="13.28515625" customWidth="1"/>
    <col min="10001" max="10001" width="14.42578125" customWidth="1"/>
    <col min="10002" max="10002" width="7.140625" customWidth="1"/>
    <col min="10003" max="10003" width="8" customWidth="1"/>
    <col min="10240" max="10240" width="21.42578125" customWidth="1"/>
    <col min="10241" max="10241" width="57.140625" customWidth="1"/>
    <col min="10246" max="10246" width="11.140625" customWidth="1"/>
    <col min="10247" max="10247" width="14.140625" customWidth="1"/>
    <col min="10248" max="10248" width="14.42578125" customWidth="1"/>
    <col min="10249" max="10249" width="14.28515625" customWidth="1"/>
    <col min="10251" max="10256" width="13.28515625" customWidth="1"/>
    <col min="10257" max="10257" width="14.42578125" customWidth="1"/>
    <col min="10258" max="10258" width="7.140625" customWidth="1"/>
    <col min="10259" max="10259" width="8" customWidth="1"/>
    <col min="10496" max="10496" width="21.42578125" customWidth="1"/>
    <col min="10497" max="10497" width="57.140625" customWidth="1"/>
    <col min="10502" max="10502" width="11.140625" customWidth="1"/>
    <col min="10503" max="10503" width="14.140625" customWidth="1"/>
    <col min="10504" max="10504" width="14.42578125" customWidth="1"/>
    <col min="10505" max="10505" width="14.28515625" customWidth="1"/>
    <col min="10507" max="10512" width="13.28515625" customWidth="1"/>
    <col min="10513" max="10513" width="14.42578125" customWidth="1"/>
    <col min="10514" max="10514" width="7.140625" customWidth="1"/>
    <col min="10515" max="10515" width="8" customWidth="1"/>
    <col min="10752" max="10752" width="21.42578125" customWidth="1"/>
    <col min="10753" max="10753" width="57.140625" customWidth="1"/>
    <col min="10758" max="10758" width="11.140625" customWidth="1"/>
    <col min="10759" max="10759" width="14.140625" customWidth="1"/>
    <col min="10760" max="10760" width="14.42578125" customWidth="1"/>
    <col min="10761" max="10761" width="14.28515625" customWidth="1"/>
    <col min="10763" max="10768" width="13.28515625" customWidth="1"/>
    <col min="10769" max="10769" width="14.42578125" customWidth="1"/>
    <col min="10770" max="10770" width="7.140625" customWidth="1"/>
    <col min="10771" max="10771" width="8" customWidth="1"/>
    <col min="11008" max="11008" width="21.42578125" customWidth="1"/>
    <col min="11009" max="11009" width="57.140625" customWidth="1"/>
    <col min="11014" max="11014" width="11.140625" customWidth="1"/>
    <col min="11015" max="11015" width="14.140625" customWidth="1"/>
    <col min="11016" max="11016" width="14.42578125" customWidth="1"/>
    <col min="11017" max="11017" width="14.28515625" customWidth="1"/>
    <col min="11019" max="11024" width="13.28515625" customWidth="1"/>
    <col min="11025" max="11025" width="14.42578125" customWidth="1"/>
    <col min="11026" max="11026" width="7.140625" customWidth="1"/>
    <col min="11027" max="11027" width="8" customWidth="1"/>
    <col min="11264" max="11264" width="21.42578125" customWidth="1"/>
    <col min="11265" max="11265" width="57.140625" customWidth="1"/>
    <col min="11270" max="11270" width="11.140625" customWidth="1"/>
    <col min="11271" max="11271" width="14.140625" customWidth="1"/>
    <col min="11272" max="11272" width="14.42578125" customWidth="1"/>
    <col min="11273" max="11273" width="14.28515625" customWidth="1"/>
    <col min="11275" max="11280" width="13.28515625" customWidth="1"/>
    <col min="11281" max="11281" width="14.42578125" customWidth="1"/>
    <col min="11282" max="11282" width="7.140625" customWidth="1"/>
    <col min="11283" max="11283" width="8" customWidth="1"/>
    <col min="11520" max="11520" width="21.42578125" customWidth="1"/>
    <col min="11521" max="11521" width="57.140625" customWidth="1"/>
    <col min="11526" max="11526" width="11.140625" customWidth="1"/>
    <col min="11527" max="11527" width="14.140625" customWidth="1"/>
    <col min="11528" max="11528" width="14.42578125" customWidth="1"/>
    <col min="11529" max="11529" width="14.28515625" customWidth="1"/>
    <col min="11531" max="11536" width="13.28515625" customWidth="1"/>
    <col min="11537" max="11537" width="14.42578125" customWidth="1"/>
    <col min="11538" max="11538" width="7.140625" customWidth="1"/>
    <col min="11539" max="11539" width="8" customWidth="1"/>
    <col min="11776" max="11776" width="21.42578125" customWidth="1"/>
    <col min="11777" max="11777" width="57.140625" customWidth="1"/>
    <col min="11782" max="11782" width="11.140625" customWidth="1"/>
    <col min="11783" max="11783" width="14.140625" customWidth="1"/>
    <col min="11784" max="11784" width="14.42578125" customWidth="1"/>
    <col min="11785" max="11785" width="14.28515625" customWidth="1"/>
    <col min="11787" max="11792" width="13.28515625" customWidth="1"/>
    <col min="11793" max="11793" width="14.42578125" customWidth="1"/>
    <col min="11794" max="11794" width="7.140625" customWidth="1"/>
    <col min="11795" max="11795" width="8" customWidth="1"/>
    <col min="12032" max="12032" width="21.42578125" customWidth="1"/>
    <col min="12033" max="12033" width="57.140625" customWidth="1"/>
    <col min="12038" max="12038" width="11.140625" customWidth="1"/>
    <col min="12039" max="12039" width="14.140625" customWidth="1"/>
    <col min="12040" max="12040" width="14.42578125" customWidth="1"/>
    <col min="12041" max="12041" width="14.28515625" customWidth="1"/>
    <col min="12043" max="12048" width="13.28515625" customWidth="1"/>
    <col min="12049" max="12049" width="14.42578125" customWidth="1"/>
    <col min="12050" max="12050" width="7.140625" customWidth="1"/>
    <col min="12051" max="12051" width="8" customWidth="1"/>
    <col min="12288" max="12288" width="21.42578125" customWidth="1"/>
    <col min="12289" max="12289" width="57.140625" customWidth="1"/>
    <col min="12294" max="12294" width="11.140625" customWidth="1"/>
    <col min="12295" max="12295" width="14.140625" customWidth="1"/>
    <col min="12296" max="12296" width="14.42578125" customWidth="1"/>
    <col min="12297" max="12297" width="14.28515625" customWidth="1"/>
    <col min="12299" max="12304" width="13.28515625" customWidth="1"/>
    <col min="12305" max="12305" width="14.42578125" customWidth="1"/>
    <col min="12306" max="12306" width="7.140625" customWidth="1"/>
    <col min="12307" max="12307" width="8" customWidth="1"/>
    <col min="12544" max="12544" width="21.42578125" customWidth="1"/>
    <col min="12545" max="12545" width="57.140625" customWidth="1"/>
    <col min="12550" max="12550" width="11.140625" customWidth="1"/>
    <col min="12551" max="12551" width="14.140625" customWidth="1"/>
    <col min="12552" max="12552" width="14.42578125" customWidth="1"/>
    <col min="12553" max="12553" width="14.28515625" customWidth="1"/>
    <col min="12555" max="12560" width="13.28515625" customWidth="1"/>
    <col min="12561" max="12561" width="14.42578125" customWidth="1"/>
    <col min="12562" max="12562" width="7.140625" customWidth="1"/>
    <col min="12563" max="12563" width="8" customWidth="1"/>
    <col min="12800" max="12800" width="21.42578125" customWidth="1"/>
    <col min="12801" max="12801" width="57.140625" customWidth="1"/>
    <col min="12806" max="12806" width="11.140625" customWidth="1"/>
    <col min="12807" max="12807" width="14.140625" customWidth="1"/>
    <col min="12808" max="12808" width="14.42578125" customWidth="1"/>
    <col min="12809" max="12809" width="14.28515625" customWidth="1"/>
    <col min="12811" max="12816" width="13.28515625" customWidth="1"/>
    <col min="12817" max="12817" width="14.42578125" customWidth="1"/>
    <col min="12818" max="12818" width="7.140625" customWidth="1"/>
    <col min="12819" max="12819" width="8" customWidth="1"/>
    <col min="13056" max="13056" width="21.42578125" customWidth="1"/>
    <col min="13057" max="13057" width="57.140625" customWidth="1"/>
    <col min="13062" max="13062" width="11.140625" customWidth="1"/>
    <col min="13063" max="13063" width="14.140625" customWidth="1"/>
    <col min="13064" max="13064" width="14.42578125" customWidth="1"/>
    <col min="13065" max="13065" width="14.28515625" customWidth="1"/>
    <col min="13067" max="13072" width="13.28515625" customWidth="1"/>
    <col min="13073" max="13073" width="14.42578125" customWidth="1"/>
    <col min="13074" max="13074" width="7.140625" customWidth="1"/>
    <col min="13075" max="13075" width="8" customWidth="1"/>
    <col min="13312" max="13312" width="21.42578125" customWidth="1"/>
    <col min="13313" max="13313" width="57.140625" customWidth="1"/>
    <col min="13318" max="13318" width="11.140625" customWidth="1"/>
    <col min="13319" max="13319" width="14.140625" customWidth="1"/>
    <col min="13320" max="13320" width="14.42578125" customWidth="1"/>
    <col min="13321" max="13321" width="14.28515625" customWidth="1"/>
    <col min="13323" max="13328" width="13.28515625" customWidth="1"/>
    <col min="13329" max="13329" width="14.42578125" customWidth="1"/>
    <col min="13330" max="13330" width="7.140625" customWidth="1"/>
    <col min="13331" max="13331" width="8" customWidth="1"/>
    <col min="13568" max="13568" width="21.42578125" customWidth="1"/>
    <col min="13569" max="13569" width="57.140625" customWidth="1"/>
    <col min="13574" max="13574" width="11.140625" customWidth="1"/>
    <col min="13575" max="13575" width="14.140625" customWidth="1"/>
    <col min="13576" max="13576" width="14.42578125" customWidth="1"/>
    <col min="13577" max="13577" width="14.28515625" customWidth="1"/>
    <col min="13579" max="13584" width="13.28515625" customWidth="1"/>
    <col min="13585" max="13585" width="14.42578125" customWidth="1"/>
    <col min="13586" max="13586" width="7.140625" customWidth="1"/>
    <col min="13587" max="13587" width="8" customWidth="1"/>
    <col min="13824" max="13824" width="21.42578125" customWidth="1"/>
    <col min="13825" max="13825" width="57.140625" customWidth="1"/>
    <col min="13830" max="13830" width="11.140625" customWidth="1"/>
    <col min="13831" max="13831" width="14.140625" customWidth="1"/>
    <col min="13832" max="13832" width="14.42578125" customWidth="1"/>
    <col min="13833" max="13833" width="14.28515625" customWidth="1"/>
    <col min="13835" max="13840" width="13.28515625" customWidth="1"/>
    <col min="13841" max="13841" width="14.42578125" customWidth="1"/>
    <col min="13842" max="13842" width="7.140625" customWidth="1"/>
    <col min="13843" max="13843" width="8" customWidth="1"/>
    <col min="14080" max="14080" width="21.42578125" customWidth="1"/>
    <col min="14081" max="14081" width="57.140625" customWidth="1"/>
    <col min="14086" max="14086" width="11.140625" customWidth="1"/>
    <col min="14087" max="14087" width="14.140625" customWidth="1"/>
    <col min="14088" max="14088" width="14.42578125" customWidth="1"/>
    <col min="14089" max="14089" width="14.28515625" customWidth="1"/>
    <col min="14091" max="14096" width="13.28515625" customWidth="1"/>
    <col min="14097" max="14097" width="14.42578125" customWidth="1"/>
    <col min="14098" max="14098" width="7.140625" customWidth="1"/>
    <col min="14099" max="14099" width="8" customWidth="1"/>
    <col min="14336" max="14336" width="21.42578125" customWidth="1"/>
    <col min="14337" max="14337" width="57.140625" customWidth="1"/>
    <col min="14342" max="14342" width="11.140625" customWidth="1"/>
    <col min="14343" max="14343" width="14.140625" customWidth="1"/>
    <col min="14344" max="14344" width="14.42578125" customWidth="1"/>
    <col min="14345" max="14345" width="14.28515625" customWidth="1"/>
    <col min="14347" max="14352" width="13.28515625" customWidth="1"/>
    <col min="14353" max="14353" width="14.42578125" customWidth="1"/>
    <col min="14354" max="14354" width="7.140625" customWidth="1"/>
    <col min="14355" max="14355" width="8" customWidth="1"/>
    <col min="14592" max="14592" width="21.42578125" customWidth="1"/>
    <col min="14593" max="14593" width="57.140625" customWidth="1"/>
    <col min="14598" max="14598" width="11.140625" customWidth="1"/>
    <col min="14599" max="14599" width="14.140625" customWidth="1"/>
    <col min="14600" max="14600" width="14.42578125" customWidth="1"/>
    <col min="14601" max="14601" width="14.28515625" customWidth="1"/>
    <col min="14603" max="14608" width="13.28515625" customWidth="1"/>
    <col min="14609" max="14609" width="14.42578125" customWidth="1"/>
    <col min="14610" max="14610" width="7.140625" customWidth="1"/>
    <col min="14611" max="14611" width="8" customWidth="1"/>
    <col min="14848" max="14848" width="21.42578125" customWidth="1"/>
    <col min="14849" max="14849" width="57.140625" customWidth="1"/>
    <col min="14854" max="14854" width="11.140625" customWidth="1"/>
    <col min="14855" max="14855" width="14.140625" customWidth="1"/>
    <col min="14856" max="14856" width="14.42578125" customWidth="1"/>
    <col min="14857" max="14857" width="14.28515625" customWidth="1"/>
    <col min="14859" max="14864" width="13.28515625" customWidth="1"/>
    <col min="14865" max="14865" width="14.42578125" customWidth="1"/>
    <col min="14866" max="14866" width="7.140625" customWidth="1"/>
    <col min="14867" max="14867" width="8" customWidth="1"/>
    <col min="15104" max="15104" width="21.42578125" customWidth="1"/>
    <col min="15105" max="15105" width="57.140625" customWidth="1"/>
    <col min="15110" max="15110" width="11.140625" customWidth="1"/>
    <col min="15111" max="15111" width="14.140625" customWidth="1"/>
    <col min="15112" max="15112" width="14.42578125" customWidth="1"/>
    <col min="15113" max="15113" width="14.28515625" customWidth="1"/>
    <col min="15115" max="15120" width="13.28515625" customWidth="1"/>
    <col min="15121" max="15121" width="14.42578125" customWidth="1"/>
    <col min="15122" max="15122" width="7.140625" customWidth="1"/>
    <col min="15123" max="15123" width="8" customWidth="1"/>
    <col min="15360" max="15360" width="21.42578125" customWidth="1"/>
    <col min="15361" max="15361" width="57.140625" customWidth="1"/>
    <col min="15366" max="15366" width="11.140625" customWidth="1"/>
    <col min="15367" max="15367" width="14.140625" customWidth="1"/>
    <col min="15368" max="15368" width="14.42578125" customWidth="1"/>
    <col min="15369" max="15369" width="14.28515625" customWidth="1"/>
    <col min="15371" max="15376" width="13.28515625" customWidth="1"/>
    <col min="15377" max="15377" width="14.42578125" customWidth="1"/>
    <col min="15378" max="15378" width="7.140625" customWidth="1"/>
    <col min="15379" max="15379" width="8" customWidth="1"/>
    <col min="15616" max="15616" width="21.42578125" customWidth="1"/>
    <col min="15617" max="15617" width="57.140625" customWidth="1"/>
    <col min="15622" max="15622" width="11.140625" customWidth="1"/>
    <col min="15623" max="15623" width="14.140625" customWidth="1"/>
    <col min="15624" max="15624" width="14.42578125" customWidth="1"/>
    <col min="15625" max="15625" width="14.28515625" customWidth="1"/>
    <col min="15627" max="15632" width="13.28515625" customWidth="1"/>
    <col min="15633" max="15633" width="14.42578125" customWidth="1"/>
    <col min="15634" max="15634" width="7.140625" customWidth="1"/>
    <col min="15635" max="15635" width="8" customWidth="1"/>
    <col min="15872" max="15872" width="21.42578125" customWidth="1"/>
    <col min="15873" max="15873" width="57.140625" customWidth="1"/>
    <col min="15878" max="15878" width="11.140625" customWidth="1"/>
    <col min="15879" max="15879" width="14.140625" customWidth="1"/>
    <col min="15880" max="15880" width="14.42578125" customWidth="1"/>
    <col min="15881" max="15881" width="14.28515625" customWidth="1"/>
    <col min="15883" max="15888" width="13.28515625" customWidth="1"/>
    <col min="15889" max="15889" width="14.42578125" customWidth="1"/>
    <col min="15890" max="15890" width="7.140625" customWidth="1"/>
    <col min="15891" max="15891" width="8" customWidth="1"/>
    <col min="16128" max="16128" width="21.42578125" customWidth="1"/>
    <col min="16129" max="16129" width="57.140625" customWidth="1"/>
    <col min="16134" max="16134" width="11.140625" customWidth="1"/>
    <col min="16135" max="16135" width="14.140625" customWidth="1"/>
    <col min="16136" max="16136" width="14.42578125" customWidth="1"/>
    <col min="16137" max="16137" width="14.28515625" customWidth="1"/>
    <col min="16139" max="16144" width="13.28515625" customWidth="1"/>
    <col min="16145" max="16145" width="14.42578125" customWidth="1"/>
    <col min="16146" max="16146" width="7.140625" customWidth="1"/>
    <col min="16147" max="16147" width="8" customWidth="1"/>
  </cols>
  <sheetData>
    <row r="1" spans="1:26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584</v>
      </c>
      <c r="F1" s="131" t="s">
        <v>387</v>
      </c>
      <c r="G1" s="131" t="s">
        <v>29</v>
      </c>
      <c r="H1" s="131" t="s">
        <v>478</v>
      </c>
      <c r="I1" s="131" t="s">
        <v>388</v>
      </c>
      <c r="J1" s="131" t="s">
        <v>46</v>
      </c>
      <c r="K1" s="131" t="s">
        <v>386</v>
      </c>
      <c r="L1" s="131" t="s">
        <v>47</v>
      </c>
      <c r="M1" s="131" t="s">
        <v>443</v>
      </c>
      <c r="N1" s="131" t="s">
        <v>441</v>
      </c>
      <c r="O1" s="131" t="s">
        <v>442</v>
      </c>
      <c r="P1" s="131" t="s">
        <v>44</v>
      </c>
      <c r="Q1" s="131" t="s">
        <v>45</v>
      </c>
      <c r="R1" s="131" t="s">
        <v>46</v>
      </c>
      <c r="S1" s="131" t="s">
        <v>386</v>
      </c>
      <c r="T1" s="131" t="s">
        <v>47</v>
      </c>
      <c r="U1" s="131" t="s">
        <v>48</v>
      </c>
      <c r="V1" s="131" t="s">
        <v>49</v>
      </c>
      <c r="W1" s="131" t="s">
        <v>479</v>
      </c>
      <c r="X1" s="131" t="s">
        <v>50</v>
      </c>
    </row>
    <row r="2" spans="1:26" ht="18" customHeight="1" x14ac:dyDescent="0.25">
      <c r="A2" s="167" t="s">
        <v>244</v>
      </c>
      <c r="B2" s="86" t="s">
        <v>245</v>
      </c>
      <c r="C2" s="87" t="s">
        <v>83</v>
      </c>
      <c r="D2" s="134" t="str" cm="1">
        <f t="array" aca="1" ref="D2" ca="1">_xlfn.LET(_xlpm.filepath,CELL("filename",D2),MID(_xlpm.filepath,FIND("]",_xlpm.filepath)+1,3))</f>
        <v>013</v>
      </c>
      <c r="E2" s="135" t="s">
        <v>84</v>
      </c>
      <c r="F2" s="89" t="str">
        <f>"DO"&amp;E2&amp;"+"</f>
        <v>DO1+</v>
      </c>
      <c r="G2" s="87" t="s">
        <v>232</v>
      </c>
      <c r="H2" s="87" t="s">
        <v>233</v>
      </c>
      <c r="I2" s="65" t="s">
        <v>391</v>
      </c>
      <c r="J2" s="89" t="s">
        <v>378</v>
      </c>
      <c r="K2" s="65" t="s">
        <v>439</v>
      </c>
      <c r="L2" s="179" t="str">
        <f ca="1">D2&amp;"/"&amp;F2</f>
        <v>013/DO1+</v>
      </c>
      <c r="M2" s="183" t="s">
        <v>444</v>
      </c>
      <c r="N2" s="222" t="s">
        <v>496</v>
      </c>
      <c r="O2" s="184"/>
      <c r="P2" s="181"/>
      <c r="Q2" s="136" t="s">
        <v>458</v>
      </c>
      <c r="R2" s="89"/>
      <c r="S2" s="89"/>
      <c r="T2" s="89"/>
      <c r="U2" s="89"/>
      <c r="V2" s="165"/>
      <c r="W2" s="222" t="s">
        <v>633</v>
      </c>
      <c r="X2" s="69" t="s">
        <v>674</v>
      </c>
    </row>
    <row r="3" spans="1:26" ht="18" customHeight="1" x14ac:dyDescent="0.25">
      <c r="A3" s="198"/>
      <c r="B3" s="93"/>
      <c r="C3" s="94"/>
      <c r="D3" s="162"/>
      <c r="E3" s="163"/>
      <c r="F3" s="115" t="str">
        <f>"DO"&amp;E2&amp;"-"</f>
        <v>DO1-</v>
      </c>
      <c r="G3" s="94"/>
      <c r="H3" s="94"/>
      <c r="I3" s="77" t="s">
        <v>392</v>
      </c>
      <c r="J3" s="77" t="s">
        <v>376</v>
      </c>
      <c r="K3" s="270" t="s">
        <v>439</v>
      </c>
      <c r="L3" s="180" t="str">
        <f ca="1">D2&amp;"/"&amp;F3</f>
        <v>013/DO1-</v>
      </c>
      <c r="M3" s="185" t="s">
        <v>445</v>
      </c>
      <c r="N3" s="56"/>
      <c r="O3" s="68"/>
      <c r="P3" s="182"/>
      <c r="Q3" s="94"/>
      <c r="R3" s="96"/>
      <c r="S3" s="96"/>
      <c r="T3" s="96"/>
      <c r="U3" s="96"/>
      <c r="V3" s="166"/>
      <c r="W3" s="224" t="s">
        <v>635</v>
      </c>
      <c r="X3" s="67"/>
    </row>
    <row r="4" spans="1:26" ht="18" customHeight="1" x14ac:dyDescent="0.25">
      <c r="A4" s="198"/>
      <c r="B4" s="93"/>
      <c r="C4" s="94"/>
      <c r="D4" s="162"/>
      <c r="E4" s="163"/>
      <c r="F4" s="343" t="s">
        <v>682</v>
      </c>
      <c r="G4" s="94"/>
      <c r="H4" s="94"/>
      <c r="I4" s="77"/>
      <c r="J4" s="77" t="s">
        <v>450</v>
      </c>
      <c r="K4" s="340" t="s">
        <v>681</v>
      </c>
      <c r="L4" s="342" t="s">
        <v>682</v>
      </c>
      <c r="M4" s="185" t="s">
        <v>446</v>
      </c>
      <c r="N4" s="56"/>
      <c r="O4" s="186" t="s">
        <v>447</v>
      </c>
      <c r="P4" s="182"/>
      <c r="Q4" s="94"/>
      <c r="R4" s="224" t="s">
        <v>450</v>
      </c>
      <c r="S4" s="340" t="s">
        <v>681</v>
      </c>
      <c r="T4" s="375" t="s">
        <v>686</v>
      </c>
      <c r="U4" s="77" t="s">
        <v>602</v>
      </c>
      <c r="V4" s="209">
        <v>1</v>
      </c>
      <c r="W4" s="97"/>
      <c r="X4" s="67"/>
      <c r="Z4" t="s">
        <v>654</v>
      </c>
    </row>
    <row r="5" spans="1:26" ht="18" customHeight="1" thickBot="1" x14ac:dyDescent="0.3">
      <c r="A5" s="198"/>
      <c r="B5" s="93"/>
      <c r="C5" s="94"/>
      <c r="D5" s="162"/>
      <c r="E5" s="163"/>
      <c r="F5" s="343" t="s">
        <v>683</v>
      </c>
      <c r="G5" s="94"/>
      <c r="H5" s="94"/>
      <c r="I5" s="77"/>
      <c r="J5" s="77" t="s">
        <v>450</v>
      </c>
      <c r="K5" s="340" t="s">
        <v>681</v>
      </c>
      <c r="L5" s="342" t="s">
        <v>683</v>
      </c>
      <c r="M5" s="187" t="s">
        <v>448</v>
      </c>
      <c r="N5" s="188"/>
      <c r="O5" s="189" t="s">
        <v>449</v>
      </c>
      <c r="P5" s="182"/>
      <c r="Q5" s="94"/>
      <c r="R5" s="224" t="s">
        <v>450</v>
      </c>
      <c r="S5" s="340" t="s">
        <v>681</v>
      </c>
      <c r="T5" s="77" t="s">
        <v>451</v>
      </c>
      <c r="U5" s="77" t="s">
        <v>602</v>
      </c>
      <c r="V5" s="209">
        <v>3</v>
      </c>
      <c r="W5" s="97"/>
      <c r="X5" s="67"/>
    </row>
    <row r="6" spans="1:26" ht="18" customHeight="1" x14ac:dyDescent="0.25">
      <c r="A6" s="198"/>
      <c r="B6" s="93"/>
      <c r="C6" s="94"/>
      <c r="D6" s="162"/>
      <c r="E6" s="163"/>
      <c r="F6" s="343" t="s">
        <v>684</v>
      </c>
      <c r="G6" s="94"/>
      <c r="H6" s="94"/>
      <c r="I6" s="77"/>
      <c r="J6" s="77"/>
      <c r="K6" s="77"/>
      <c r="L6" s="77"/>
      <c r="M6" s="56"/>
      <c r="N6" s="56"/>
      <c r="O6" s="56"/>
      <c r="P6" s="94"/>
      <c r="Q6" s="94"/>
      <c r="R6" s="97" t="s">
        <v>376</v>
      </c>
      <c r="S6" s="340" t="s">
        <v>681</v>
      </c>
      <c r="T6" s="340" t="s">
        <v>684</v>
      </c>
      <c r="U6" s="77" t="s">
        <v>602</v>
      </c>
      <c r="V6" s="209">
        <v>2</v>
      </c>
      <c r="W6" s="97"/>
      <c r="X6" s="67"/>
    </row>
    <row r="7" spans="1:26" ht="18" customHeight="1" thickBot="1" x14ac:dyDescent="0.3">
      <c r="A7" s="198"/>
      <c r="B7" s="93"/>
      <c r="C7" s="94"/>
      <c r="D7" s="162"/>
      <c r="E7" s="163"/>
      <c r="F7" s="344" t="s">
        <v>685</v>
      </c>
      <c r="G7" s="94"/>
      <c r="H7" s="94"/>
      <c r="I7" s="55"/>
      <c r="J7" s="55"/>
      <c r="K7" s="55"/>
      <c r="L7" s="55"/>
      <c r="M7" s="56"/>
      <c r="N7" s="56"/>
      <c r="O7" s="56"/>
      <c r="P7" s="94"/>
      <c r="Q7" s="94"/>
      <c r="R7" s="97" t="s">
        <v>376</v>
      </c>
      <c r="S7" s="341" t="s">
        <v>681</v>
      </c>
      <c r="T7" s="341" t="s">
        <v>685</v>
      </c>
      <c r="U7" s="55" t="s">
        <v>602</v>
      </c>
      <c r="V7" s="210">
        <v>4</v>
      </c>
      <c r="W7" s="97"/>
      <c r="X7" s="67"/>
    </row>
    <row r="8" spans="1:26" ht="18" customHeight="1" x14ac:dyDescent="0.25">
      <c r="A8" s="390" t="s">
        <v>715</v>
      </c>
      <c r="B8" s="385" t="s">
        <v>713</v>
      </c>
      <c r="C8" s="102" t="s">
        <v>83</v>
      </c>
      <c r="D8" s="143" t="str" cm="1">
        <f t="array" aca="1" ref="D8" ca="1">_xlfn.LET(_xlpm.filepath,CELL("filename",D8),MID(_xlpm.filepath,FIND("]",_xlpm.filepath)+1,3))</f>
        <v>013</v>
      </c>
      <c r="E8" s="144" t="s">
        <v>90</v>
      </c>
      <c r="F8" s="104" t="str">
        <f>"DO"&amp;E8&amp;"+"</f>
        <v>DO2+</v>
      </c>
      <c r="G8" s="102" t="s">
        <v>232</v>
      </c>
      <c r="H8" s="102" t="s">
        <v>233</v>
      </c>
      <c r="I8" s="103" t="s">
        <v>393</v>
      </c>
      <c r="J8" s="104" t="s">
        <v>378</v>
      </c>
      <c r="K8" s="102" t="s">
        <v>439</v>
      </c>
      <c r="L8" s="190" t="str">
        <f ca="1">D8&amp;"/"&amp;F8</f>
        <v>013/DO2+</v>
      </c>
      <c r="M8" s="194">
        <v>4</v>
      </c>
      <c r="N8" s="376" t="s">
        <v>627</v>
      </c>
      <c r="O8" s="195">
        <v>7</v>
      </c>
      <c r="P8" s="192"/>
      <c r="Q8" s="388" t="s">
        <v>714</v>
      </c>
      <c r="R8" s="251" t="s">
        <v>638</v>
      </c>
      <c r="S8" s="104" t="s">
        <v>439</v>
      </c>
      <c r="T8" s="104" t="str">
        <f ca="1">D8&amp;"/"&amp;F8</f>
        <v>013/DO2+</v>
      </c>
      <c r="U8" s="104" t="s">
        <v>484</v>
      </c>
      <c r="V8" s="74">
        <v>39</v>
      </c>
      <c r="W8" s="227" t="s">
        <v>633</v>
      </c>
      <c r="X8" s="384" t="s">
        <v>711</v>
      </c>
      <c r="Z8" s="378" t="s">
        <v>716</v>
      </c>
    </row>
    <row r="9" spans="1:26" ht="18" customHeight="1" thickBot="1" x14ac:dyDescent="0.3">
      <c r="A9" s="170"/>
      <c r="B9" s="386"/>
      <c r="C9" s="127"/>
      <c r="D9" s="145"/>
      <c r="E9" s="146"/>
      <c r="F9" s="147" t="str">
        <f>"DO"&amp;E8&amp;"-"</f>
        <v>DO2-</v>
      </c>
      <c r="G9" s="127"/>
      <c r="H9" s="127"/>
      <c r="I9" s="128" t="s">
        <v>394</v>
      </c>
      <c r="J9" s="147" t="s">
        <v>376</v>
      </c>
      <c r="K9" s="127" t="s">
        <v>439</v>
      </c>
      <c r="L9" s="191" t="str">
        <f ca="1">D8&amp;"/"&amp;F9</f>
        <v>013/DO2-</v>
      </c>
      <c r="M9" s="196">
        <v>2</v>
      </c>
      <c r="N9" s="160" t="s">
        <v>585</v>
      </c>
      <c r="O9" s="197">
        <v>6</v>
      </c>
      <c r="P9" s="193"/>
      <c r="Q9" s="127"/>
      <c r="R9" s="249" t="s">
        <v>638</v>
      </c>
      <c r="S9" s="147" t="s">
        <v>439</v>
      </c>
      <c r="T9" s="147" t="str">
        <f ca="1">D8&amp;"/"&amp;F9</f>
        <v>013/DO2-</v>
      </c>
      <c r="U9" s="147" t="s">
        <v>484</v>
      </c>
      <c r="V9" s="75">
        <v>40</v>
      </c>
      <c r="W9" s="229" t="s">
        <v>634</v>
      </c>
      <c r="X9" s="130"/>
    </row>
    <row r="10" spans="1:26" ht="18" customHeight="1" x14ac:dyDescent="0.25">
      <c r="A10" s="171" t="s">
        <v>231</v>
      </c>
      <c r="B10" s="120" t="s">
        <v>534</v>
      </c>
      <c r="C10" s="121" t="s">
        <v>83</v>
      </c>
      <c r="D10" s="148" t="str" cm="1">
        <f t="array" aca="1" ref="D10" ca="1">_xlfn.LET(_xlpm.filepath,CELL("filename",D10),MID(_xlpm.filepath,FIND("]",_xlpm.filepath)+1,3))</f>
        <v>013</v>
      </c>
      <c r="E10" s="149" t="s">
        <v>237</v>
      </c>
      <c r="F10" s="123" t="str">
        <f>"DO"&amp;E10&amp;"+"</f>
        <v>DO3+</v>
      </c>
      <c r="G10" s="121" t="s">
        <v>232</v>
      </c>
      <c r="H10" s="121" t="s">
        <v>233</v>
      </c>
      <c r="I10" s="122" t="s">
        <v>395</v>
      </c>
      <c r="J10" s="121"/>
      <c r="K10" s="121"/>
      <c r="L10" s="121"/>
      <c r="M10" s="94"/>
      <c r="N10" s="94"/>
      <c r="O10" s="94"/>
      <c r="P10" s="121" t="s">
        <v>109</v>
      </c>
      <c r="Q10" s="121" t="s">
        <v>113</v>
      </c>
      <c r="R10" s="123" t="s">
        <v>378</v>
      </c>
      <c r="S10" s="123" t="s">
        <v>439</v>
      </c>
      <c r="T10" s="123" t="str">
        <f ca="1">D10&amp;"/"&amp;F10</f>
        <v>013/DO3+</v>
      </c>
      <c r="U10" s="123" t="s">
        <v>503</v>
      </c>
      <c r="V10" s="60">
        <v>1</v>
      </c>
      <c r="W10" s="124" t="s">
        <v>475</v>
      </c>
      <c r="X10" s="150">
        <v>0</v>
      </c>
    </row>
    <row r="11" spans="1:26" ht="18" customHeight="1" x14ac:dyDescent="0.25">
      <c r="A11" s="168"/>
      <c r="B11" s="138"/>
      <c r="C11" s="139"/>
      <c r="D11" s="140"/>
      <c r="E11" s="141"/>
      <c r="F11" s="117" t="str">
        <f>"DO"&amp;E10&amp;"-"</f>
        <v>DO3-</v>
      </c>
      <c r="G11" s="139"/>
      <c r="H11" s="139"/>
      <c r="I11" s="164" t="s">
        <v>396</v>
      </c>
      <c r="J11" s="139"/>
      <c r="K11" s="139"/>
      <c r="L11" s="139"/>
      <c r="M11" s="139"/>
      <c r="N11" s="139"/>
      <c r="O11" s="139"/>
      <c r="P11" s="139"/>
      <c r="Q11" s="139"/>
      <c r="R11" s="117" t="s">
        <v>376</v>
      </c>
      <c r="S11" s="117" t="s">
        <v>439</v>
      </c>
      <c r="T11" s="117" t="str">
        <f ca="1">D10&amp;"/"&amp;F11</f>
        <v>013/DO3-</v>
      </c>
      <c r="U11" s="117" t="s">
        <v>503</v>
      </c>
      <c r="V11" s="73">
        <v>2</v>
      </c>
      <c r="W11" s="142"/>
      <c r="X11" s="151"/>
    </row>
    <row r="12" spans="1:26" ht="18" customHeight="1" x14ac:dyDescent="0.25">
      <c r="A12" s="169" t="s">
        <v>234</v>
      </c>
      <c r="B12" s="101" t="s">
        <v>533</v>
      </c>
      <c r="C12" s="102" t="s">
        <v>83</v>
      </c>
      <c r="D12" s="143" t="str" cm="1">
        <f t="array" aca="1" ref="D12" ca="1">_xlfn.LET(_xlpm.filepath,CELL("filename",D12),MID(_xlpm.filepath,FIND("]",_xlpm.filepath)+1,3))</f>
        <v>013</v>
      </c>
      <c r="E12" s="144" t="s">
        <v>96</v>
      </c>
      <c r="F12" s="104" t="str">
        <f>"DO"&amp;E12&amp;"+"</f>
        <v>DO4+</v>
      </c>
      <c r="G12" s="102" t="s">
        <v>232</v>
      </c>
      <c r="H12" s="102" t="s">
        <v>233</v>
      </c>
      <c r="I12" s="103" t="s">
        <v>397</v>
      </c>
      <c r="J12" s="102"/>
      <c r="K12" s="102"/>
      <c r="L12" s="102"/>
      <c r="M12" s="102"/>
      <c r="N12" s="102"/>
      <c r="O12" s="102"/>
      <c r="P12" s="102" t="s">
        <v>109</v>
      </c>
      <c r="Q12" s="102" t="s">
        <v>116</v>
      </c>
      <c r="R12" s="104" t="s">
        <v>378</v>
      </c>
      <c r="S12" s="104" t="s">
        <v>439</v>
      </c>
      <c r="T12" s="104" t="str">
        <f ca="1">D12&amp;"/"&amp;F12</f>
        <v>013/DO4+</v>
      </c>
      <c r="U12" s="104" t="s">
        <v>503</v>
      </c>
      <c r="V12" s="74">
        <v>5</v>
      </c>
      <c r="W12" s="103" t="s">
        <v>475</v>
      </c>
      <c r="X12" s="105" t="s">
        <v>91</v>
      </c>
    </row>
    <row r="13" spans="1:26" ht="18" customHeight="1" x14ac:dyDescent="0.25">
      <c r="A13" s="170"/>
      <c r="B13" s="126"/>
      <c r="C13" s="127"/>
      <c r="D13" s="145"/>
      <c r="E13" s="146"/>
      <c r="F13" s="147" t="str">
        <f>"DO"&amp;E12&amp;"-"</f>
        <v>DO4-</v>
      </c>
      <c r="G13" s="127"/>
      <c r="H13" s="127"/>
      <c r="I13" s="128" t="s">
        <v>398</v>
      </c>
      <c r="J13" s="127"/>
      <c r="K13" s="127"/>
      <c r="L13" s="127"/>
      <c r="M13" s="127"/>
      <c r="N13" s="127"/>
      <c r="O13" s="127"/>
      <c r="P13" s="129"/>
      <c r="Q13" s="127"/>
      <c r="R13" s="147" t="s">
        <v>376</v>
      </c>
      <c r="S13" s="147" t="s">
        <v>439</v>
      </c>
      <c r="T13" s="147" t="str">
        <f ca="1">D12&amp;"/"&amp;F13</f>
        <v>013/DO4-</v>
      </c>
      <c r="U13" s="147" t="s">
        <v>503</v>
      </c>
      <c r="V13" s="75">
        <v>6</v>
      </c>
      <c r="W13" s="128"/>
      <c r="X13" s="130"/>
    </row>
    <row r="14" spans="1:26" ht="18" customHeight="1" x14ac:dyDescent="0.25">
      <c r="A14" s="171" t="s">
        <v>235</v>
      </c>
      <c r="B14" s="120" t="s">
        <v>236</v>
      </c>
      <c r="C14" s="121" t="s">
        <v>83</v>
      </c>
      <c r="D14" s="148" t="str" cm="1">
        <f t="array" aca="1" ref="D14" ca="1">_xlfn.LET(_xlpm.filepath,CELL("filename",D14),MID(_xlpm.filepath,FIND("]",_xlpm.filepath)+1,3))</f>
        <v>013</v>
      </c>
      <c r="E14" s="149" t="s">
        <v>242</v>
      </c>
      <c r="F14" s="123" t="str">
        <f>"DO"&amp;E14&amp;"+"</f>
        <v>DO5+</v>
      </c>
      <c r="G14" s="121" t="s">
        <v>232</v>
      </c>
      <c r="H14" s="121" t="s">
        <v>233</v>
      </c>
      <c r="I14" s="122" t="s">
        <v>399</v>
      </c>
      <c r="J14" s="121"/>
      <c r="K14" s="121"/>
      <c r="L14" s="121"/>
      <c r="M14" s="121"/>
      <c r="N14" s="121"/>
      <c r="O14" s="121"/>
      <c r="P14" s="121" t="s">
        <v>109</v>
      </c>
      <c r="Q14" s="121" t="s">
        <v>129</v>
      </c>
      <c r="R14" s="123" t="s">
        <v>378</v>
      </c>
      <c r="S14" s="123" t="s">
        <v>439</v>
      </c>
      <c r="T14" s="123" t="str">
        <f ca="1">D14&amp;"/"&amp;F14</f>
        <v>013/DO5+</v>
      </c>
      <c r="U14" s="123" t="s">
        <v>503</v>
      </c>
      <c r="V14" s="60">
        <v>15</v>
      </c>
      <c r="W14" s="124" t="s">
        <v>475</v>
      </c>
      <c r="X14" s="150">
        <v>0</v>
      </c>
    </row>
    <row r="15" spans="1:26" ht="18" customHeight="1" x14ac:dyDescent="0.25">
      <c r="A15" s="168"/>
      <c r="B15" s="138"/>
      <c r="C15" s="139"/>
      <c r="D15" s="140"/>
      <c r="E15" s="141"/>
      <c r="F15" s="117" t="str">
        <f>"DO"&amp;E14&amp;"-"</f>
        <v>DO5-</v>
      </c>
      <c r="G15" s="139"/>
      <c r="H15" s="139"/>
      <c r="I15" s="164" t="s">
        <v>400</v>
      </c>
      <c r="J15" s="139"/>
      <c r="K15" s="139"/>
      <c r="L15" s="139"/>
      <c r="M15" s="139"/>
      <c r="N15" s="139"/>
      <c r="O15" s="139"/>
      <c r="P15" s="139"/>
      <c r="Q15" s="139"/>
      <c r="R15" s="117" t="s">
        <v>376</v>
      </c>
      <c r="S15" s="117" t="s">
        <v>439</v>
      </c>
      <c r="T15" s="117" t="str">
        <f ca="1">D14&amp;"/"&amp;F15</f>
        <v>013/DO5-</v>
      </c>
      <c r="U15" s="117" t="s">
        <v>503</v>
      </c>
      <c r="V15" s="73">
        <v>16</v>
      </c>
      <c r="W15" s="142"/>
      <c r="X15" s="151"/>
    </row>
    <row r="16" spans="1:26" ht="18" customHeight="1" x14ac:dyDescent="0.25">
      <c r="A16" s="169" t="s">
        <v>238</v>
      </c>
      <c r="B16" s="101" t="s">
        <v>239</v>
      </c>
      <c r="C16" s="102" t="s">
        <v>83</v>
      </c>
      <c r="D16" s="143" t="str" cm="1">
        <f t="array" aca="1" ref="D16" ca="1">_xlfn.LET(_xlpm.filepath,CELL("filename",D16),MID(_xlpm.filepath,FIND("]",_xlpm.filepath)+1,3))</f>
        <v>013</v>
      </c>
      <c r="E16" s="144" t="s">
        <v>101</v>
      </c>
      <c r="F16" s="104" t="str">
        <f>"DO"&amp;E16&amp;"+"</f>
        <v>DO6+</v>
      </c>
      <c r="G16" s="102" t="s">
        <v>232</v>
      </c>
      <c r="H16" s="102" t="s">
        <v>233</v>
      </c>
      <c r="I16" s="103" t="s">
        <v>401</v>
      </c>
      <c r="J16" s="102"/>
      <c r="K16" s="102"/>
      <c r="L16" s="102"/>
      <c r="M16" s="102"/>
      <c r="N16" s="102"/>
      <c r="O16" s="102"/>
      <c r="P16" s="102" t="s">
        <v>109</v>
      </c>
      <c r="Q16" s="102" t="s">
        <v>126</v>
      </c>
      <c r="R16" s="104" t="s">
        <v>378</v>
      </c>
      <c r="S16" s="104" t="s">
        <v>439</v>
      </c>
      <c r="T16" s="104" t="str">
        <f ca="1">D16&amp;"/"&amp;F16</f>
        <v>013/DO6+</v>
      </c>
      <c r="U16" s="104" t="s">
        <v>503</v>
      </c>
      <c r="V16" s="74">
        <v>11</v>
      </c>
      <c r="W16" s="103" t="s">
        <v>475</v>
      </c>
      <c r="X16" s="105" t="s">
        <v>91</v>
      </c>
    </row>
    <row r="17" spans="1:24" ht="18" customHeight="1" x14ac:dyDescent="0.25">
      <c r="A17" s="170"/>
      <c r="B17" s="126"/>
      <c r="C17" s="127"/>
      <c r="D17" s="145"/>
      <c r="E17" s="146"/>
      <c r="F17" s="147" t="str">
        <f>"DO"&amp;E16&amp;"-"</f>
        <v>DO6-</v>
      </c>
      <c r="G17" s="127"/>
      <c r="H17" s="127"/>
      <c r="I17" s="128" t="s">
        <v>402</v>
      </c>
      <c r="J17" s="127"/>
      <c r="K17" s="127"/>
      <c r="L17" s="127"/>
      <c r="M17" s="127"/>
      <c r="N17" s="127"/>
      <c r="O17" s="127"/>
      <c r="P17" s="129"/>
      <c r="Q17" s="127"/>
      <c r="R17" s="147" t="s">
        <v>376</v>
      </c>
      <c r="S17" s="147" t="s">
        <v>439</v>
      </c>
      <c r="T17" s="147" t="str">
        <f ca="1">D16&amp;"/"&amp;F17</f>
        <v>013/DO6-</v>
      </c>
      <c r="U17" s="147" t="s">
        <v>503</v>
      </c>
      <c r="V17" s="75">
        <v>12</v>
      </c>
      <c r="W17" s="128"/>
      <c r="X17" s="130"/>
    </row>
    <row r="18" spans="1:24" ht="18" customHeight="1" x14ac:dyDescent="0.25">
      <c r="A18" s="171" t="s">
        <v>240</v>
      </c>
      <c r="B18" s="120" t="s">
        <v>241</v>
      </c>
      <c r="C18" s="121" t="s">
        <v>83</v>
      </c>
      <c r="D18" s="148" t="str" cm="1">
        <f t="array" aca="1" ref="D18" ca="1">_xlfn.LET(_xlpm.filepath,CELL("filename",D18),MID(_xlpm.filepath,FIND("]",_xlpm.filepath)+1,3))</f>
        <v>013</v>
      </c>
      <c r="E18" s="149" t="s">
        <v>246</v>
      </c>
      <c r="F18" s="123" t="str">
        <f>"DO"&amp;E18&amp;"+"</f>
        <v>DO7+</v>
      </c>
      <c r="G18" s="121" t="s">
        <v>232</v>
      </c>
      <c r="H18" s="121" t="s">
        <v>233</v>
      </c>
      <c r="I18" s="122" t="s">
        <v>403</v>
      </c>
      <c r="J18" s="121"/>
      <c r="K18" s="121"/>
      <c r="L18" s="121"/>
      <c r="M18" s="121"/>
      <c r="N18" s="121"/>
      <c r="O18" s="121"/>
      <c r="P18" s="121" t="s">
        <v>109</v>
      </c>
      <c r="Q18" s="121" t="s">
        <v>135</v>
      </c>
      <c r="R18" s="123" t="s">
        <v>378</v>
      </c>
      <c r="S18" s="123" t="s">
        <v>439</v>
      </c>
      <c r="T18" s="123" t="str">
        <f ca="1">D18&amp;"/"&amp;F18</f>
        <v>013/DO7+</v>
      </c>
      <c r="U18" s="123" t="s">
        <v>503</v>
      </c>
      <c r="V18" s="60">
        <v>27</v>
      </c>
      <c r="W18" s="124" t="s">
        <v>475</v>
      </c>
      <c r="X18" s="150">
        <v>0</v>
      </c>
    </row>
    <row r="19" spans="1:24" ht="18" customHeight="1" x14ac:dyDescent="0.25">
      <c r="A19" s="198"/>
      <c r="B19" s="93"/>
      <c r="C19" s="94"/>
      <c r="D19" s="162"/>
      <c r="E19" s="163"/>
      <c r="F19" s="96" t="str">
        <f>"DO"&amp;E18&amp;"-"</f>
        <v>DO7-</v>
      </c>
      <c r="G19" s="94"/>
      <c r="H19" s="94"/>
      <c r="I19" s="95" t="s">
        <v>404</v>
      </c>
      <c r="J19" s="94"/>
      <c r="K19" s="94"/>
      <c r="L19" s="94"/>
      <c r="M19" s="94"/>
      <c r="N19" s="94"/>
      <c r="O19" s="94"/>
      <c r="P19" s="94"/>
      <c r="Q19" s="94"/>
      <c r="R19" s="96" t="s">
        <v>376</v>
      </c>
      <c r="S19" s="117" t="s">
        <v>439</v>
      </c>
      <c r="T19" s="117" t="str">
        <f ca="1">D18&amp;"/"&amp;F19</f>
        <v>013/DO7-</v>
      </c>
      <c r="U19" s="117" t="s">
        <v>503</v>
      </c>
      <c r="V19" s="61">
        <v>28</v>
      </c>
      <c r="W19" s="97"/>
      <c r="X19" s="98"/>
    </row>
    <row r="20" spans="1:24" ht="18" customHeight="1" x14ac:dyDescent="0.25">
      <c r="A20" s="169" t="s">
        <v>243</v>
      </c>
      <c r="B20" s="101" t="s">
        <v>375</v>
      </c>
      <c r="C20" s="102" t="s">
        <v>83</v>
      </c>
      <c r="D20" s="143" t="str" cm="1">
        <f t="array" aca="1" ref="D20" ca="1">_xlfn.LET(_xlpm.filepath,CELL("filename",D20),MID(_xlpm.filepath,FIND("]",_xlpm.filepath)+1,3))</f>
        <v>013</v>
      </c>
      <c r="E20" s="144" t="s">
        <v>102</v>
      </c>
      <c r="F20" s="104" t="str">
        <f>"DO"&amp;E20&amp;"+"</f>
        <v>DO8+</v>
      </c>
      <c r="G20" s="102" t="s">
        <v>232</v>
      </c>
      <c r="H20" s="102" t="s">
        <v>233</v>
      </c>
      <c r="I20" s="103" t="s">
        <v>405</v>
      </c>
      <c r="J20" s="102"/>
      <c r="K20" s="102"/>
      <c r="L20" s="102"/>
      <c r="M20" s="102"/>
      <c r="N20" s="102"/>
      <c r="O20" s="102"/>
      <c r="P20" s="102" t="s">
        <v>134</v>
      </c>
      <c r="Q20" s="102" t="s">
        <v>243</v>
      </c>
      <c r="R20" s="104" t="s">
        <v>378</v>
      </c>
      <c r="S20" s="104" t="s">
        <v>439</v>
      </c>
      <c r="T20" s="104" t="str">
        <f ca="1">D20&amp;"/"&amp;F20</f>
        <v>013/DO8+</v>
      </c>
      <c r="U20" s="104" t="s">
        <v>503</v>
      </c>
      <c r="V20" s="74">
        <v>35</v>
      </c>
      <c r="W20" s="103" t="s">
        <v>475</v>
      </c>
      <c r="X20" s="105" t="s">
        <v>91</v>
      </c>
    </row>
    <row r="21" spans="1:24" ht="18" customHeight="1" x14ac:dyDescent="0.25">
      <c r="A21" s="170"/>
      <c r="B21" s="126"/>
      <c r="C21" s="127"/>
      <c r="D21" s="145"/>
      <c r="E21" s="146"/>
      <c r="F21" s="147" t="str">
        <f>"DO"&amp;E20&amp;"-"</f>
        <v>DO8-</v>
      </c>
      <c r="G21" s="127"/>
      <c r="H21" s="127"/>
      <c r="I21" s="128" t="s">
        <v>406</v>
      </c>
      <c r="J21" s="127"/>
      <c r="K21" s="127"/>
      <c r="L21" s="127"/>
      <c r="M21" s="127"/>
      <c r="N21" s="127"/>
      <c r="O21" s="127"/>
      <c r="P21" s="129"/>
      <c r="Q21" s="127"/>
      <c r="R21" s="110" t="s">
        <v>376</v>
      </c>
      <c r="S21" s="147" t="s">
        <v>439</v>
      </c>
      <c r="T21" s="147" t="str">
        <f ca="1">D20&amp;"/"&amp;F21</f>
        <v>013/DO8-</v>
      </c>
      <c r="U21" s="147" t="s">
        <v>503</v>
      </c>
      <c r="V21" s="75">
        <v>36</v>
      </c>
      <c r="W21" s="128"/>
      <c r="X21" s="130"/>
    </row>
    <row r="22" spans="1:24" ht="18" customHeight="1" x14ac:dyDescent="0.25">
      <c r="A22" s="171" t="s">
        <v>247</v>
      </c>
      <c r="B22" s="120" t="s">
        <v>248</v>
      </c>
      <c r="C22" s="121" t="s">
        <v>83</v>
      </c>
      <c r="D22" s="148" t="str" cm="1">
        <f t="array" aca="1" ref="D22" ca="1">_xlfn.LET(_xlpm.filepath,CELL("filename",D22),MID(_xlpm.filepath,FIND("]",_xlpm.filepath)+1,3))</f>
        <v>013</v>
      </c>
      <c r="E22" s="149" t="s">
        <v>252</v>
      </c>
      <c r="F22" s="123" t="str">
        <f>"DO"&amp;E22&amp;"+"</f>
        <v>DO9+</v>
      </c>
      <c r="G22" s="121" t="s">
        <v>232</v>
      </c>
      <c r="H22" s="121" t="s">
        <v>233</v>
      </c>
      <c r="I22" s="122" t="s">
        <v>407</v>
      </c>
      <c r="J22" s="121"/>
      <c r="K22" s="121"/>
      <c r="L22" s="121"/>
      <c r="M22" s="121"/>
      <c r="N22" s="121"/>
      <c r="O22" s="121"/>
      <c r="P22" s="121" t="s">
        <v>75</v>
      </c>
      <c r="Q22" s="121" t="s">
        <v>249</v>
      </c>
      <c r="R22" s="115" t="s">
        <v>378</v>
      </c>
      <c r="S22" s="123" t="s">
        <v>439</v>
      </c>
      <c r="T22" s="123" t="str">
        <f ca="1">D22&amp;"/"&amp;F22</f>
        <v>013/DO9+</v>
      </c>
      <c r="U22" s="123" t="s">
        <v>532</v>
      </c>
      <c r="V22" s="60">
        <v>1</v>
      </c>
      <c r="W22" s="124" t="s">
        <v>475</v>
      </c>
      <c r="X22" s="150">
        <v>0</v>
      </c>
    </row>
    <row r="23" spans="1:24" ht="18" customHeight="1" x14ac:dyDescent="0.25">
      <c r="A23" s="168"/>
      <c r="B23" s="138"/>
      <c r="C23" s="139"/>
      <c r="D23" s="140"/>
      <c r="E23" s="141"/>
      <c r="F23" s="117" t="str">
        <f>"DO"&amp;E22&amp;"-"</f>
        <v>DO9-</v>
      </c>
      <c r="G23" s="139"/>
      <c r="H23" s="139"/>
      <c r="I23" s="164" t="s">
        <v>408</v>
      </c>
      <c r="J23" s="139"/>
      <c r="K23" s="139"/>
      <c r="L23" s="139"/>
      <c r="M23" s="139"/>
      <c r="N23" s="139"/>
      <c r="O23" s="139"/>
      <c r="P23" s="139"/>
      <c r="Q23" s="139"/>
      <c r="R23" s="117" t="s">
        <v>376</v>
      </c>
      <c r="S23" s="117" t="s">
        <v>439</v>
      </c>
      <c r="T23" s="117" t="str">
        <f ca="1">D22&amp;"/"&amp;F23</f>
        <v>013/DO9-</v>
      </c>
      <c r="U23" s="117" t="s">
        <v>532</v>
      </c>
      <c r="V23" s="73">
        <v>2</v>
      </c>
      <c r="W23" s="142"/>
      <c r="X23" s="151"/>
    </row>
    <row r="24" spans="1:24" ht="18" customHeight="1" x14ac:dyDescent="0.25">
      <c r="A24" s="169" t="s">
        <v>253</v>
      </c>
      <c r="B24" s="101" t="s">
        <v>254</v>
      </c>
      <c r="C24" s="102" t="s">
        <v>83</v>
      </c>
      <c r="D24" s="143" t="str" cm="1">
        <f t="array" aca="1" ref="D24" ca="1">_xlfn.LET(_xlpm.filepath,CELL("filename",D24),MID(_xlpm.filepath,FIND("]",_xlpm.filepath)+1,3))</f>
        <v>013</v>
      </c>
      <c r="E24" s="144" t="s">
        <v>105</v>
      </c>
      <c r="F24" s="104" t="str">
        <f>"DO"&amp;E24&amp;"+"</f>
        <v>DO10+</v>
      </c>
      <c r="G24" s="102" t="s">
        <v>232</v>
      </c>
      <c r="H24" s="102" t="s">
        <v>233</v>
      </c>
      <c r="I24" s="103" t="s">
        <v>409</v>
      </c>
      <c r="J24" s="102"/>
      <c r="K24" s="102"/>
      <c r="L24" s="102"/>
      <c r="M24" s="102"/>
      <c r="N24" s="102"/>
      <c r="O24" s="102"/>
      <c r="P24" s="102" t="s">
        <v>75</v>
      </c>
      <c r="Q24" s="102" t="s">
        <v>249</v>
      </c>
      <c r="R24" s="104" t="s">
        <v>378</v>
      </c>
      <c r="S24" s="104" t="s">
        <v>439</v>
      </c>
      <c r="T24" s="104" t="str">
        <f ca="1">D24&amp;"/"&amp;F24</f>
        <v>013/DO10+</v>
      </c>
      <c r="U24" s="104" t="s">
        <v>532</v>
      </c>
      <c r="V24" s="74">
        <v>5</v>
      </c>
      <c r="W24" s="103" t="s">
        <v>475</v>
      </c>
      <c r="X24" s="105" t="s">
        <v>91</v>
      </c>
    </row>
    <row r="25" spans="1:24" ht="18" customHeight="1" x14ac:dyDescent="0.25">
      <c r="A25" s="170"/>
      <c r="B25" s="126"/>
      <c r="C25" s="127"/>
      <c r="D25" s="145"/>
      <c r="E25" s="146"/>
      <c r="F25" s="147" t="str">
        <f>"DO"&amp;E24&amp;"-"</f>
        <v>DO10-</v>
      </c>
      <c r="G25" s="127"/>
      <c r="H25" s="127"/>
      <c r="I25" s="128" t="s">
        <v>410</v>
      </c>
      <c r="J25" s="127"/>
      <c r="K25" s="127"/>
      <c r="L25" s="127"/>
      <c r="M25" s="127"/>
      <c r="N25" s="127"/>
      <c r="O25" s="127"/>
      <c r="P25" s="129"/>
      <c r="Q25" s="127"/>
      <c r="R25" s="147" t="s">
        <v>376</v>
      </c>
      <c r="S25" s="147" t="s">
        <v>439</v>
      </c>
      <c r="T25" s="147" t="str">
        <f ca="1">D24&amp;"/"&amp;F25</f>
        <v>013/DO10-</v>
      </c>
      <c r="U25" s="147" t="s">
        <v>532</v>
      </c>
      <c r="V25" s="75">
        <v>6</v>
      </c>
      <c r="W25" s="128"/>
      <c r="X25" s="130"/>
    </row>
    <row r="26" spans="1:24" ht="18" customHeight="1" x14ac:dyDescent="0.25">
      <c r="A26" s="171" t="s">
        <v>258</v>
      </c>
      <c r="B26" s="120" t="s">
        <v>259</v>
      </c>
      <c r="C26" s="121" t="s">
        <v>83</v>
      </c>
      <c r="D26" s="148" t="str" cm="1">
        <f t="array" aca="1" ref="D26" ca="1">_xlfn.LET(_xlpm.filepath,CELL("filename",D26),MID(_xlpm.filepath,FIND("]",_xlpm.filepath)+1,3))</f>
        <v>013</v>
      </c>
      <c r="E26" s="149" t="s">
        <v>257</v>
      </c>
      <c r="F26" s="123" t="str">
        <f>"DO"&amp;E26&amp;"+"</f>
        <v>DO11+</v>
      </c>
      <c r="G26" s="121" t="s">
        <v>232</v>
      </c>
      <c r="H26" s="121" t="s">
        <v>233</v>
      </c>
      <c r="I26" s="122" t="s">
        <v>411</v>
      </c>
      <c r="J26" s="121"/>
      <c r="K26" s="121"/>
      <c r="L26" s="121"/>
      <c r="M26" s="121"/>
      <c r="N26" s="121"/>
      <c r="O26" s="121"/>
      <c r="P26" s="121" t="s">
        <v>75</v>
      </c>
      <c r="Q26" s="121" t="s">
        <v>249</v>
      </c>
      <c r="R26" s="123" t="s">
        <v>378</v>
      </c>
      <c r="S26" s="123" t="s">
        <v>439</v>
      </c>
      <c r="T26" s="123" t="str">
        <f ca="1">D26&amp;"/"&amp;F26</f>
        <v>013/DO11+</v>
      </c>
      <c r="U26" s="123" t="s">
        <v>532</v>
      </c>
      <c r="V26" s="60">
        <v>9</v>
      </c>
      <c r="W26" s="124" t="s">
        <v>475</v>
      </c>
      <c r="X26" s="150">
        <v>0</v>
      </c>
    </row>
    <row r="27" spans="1:24" ht="18" customHeight="1" x14ac:dyDescent="0.25">
      <c r="A27" s="168"/>
      <c r="B27" s="138"/>
      <c r="C27" s="139"/>
      <c r="D27" s="140"/>
      <c r="E27" s="141"/>
      <c r="F27" s="117" t="str">
        <f>"DO"&amp;E26&amp;"-"</f>
        <v>DO11-</v>
      </c>
      <c r="G27" s="139"/>
      <c r="H27" s="139"/>
      <c r="I27" s="164" t="s">
        <v>412</v>
      </c>
      <c r="J27" s="139"/>
      <c r="K27" s="139"/>
      <c r="L27" s="139"/>
      <c r="M27" s="139"/>
      <c r="N27" s="139"/>
      <c r="O27" s="139"/>
      <c r="P27" s="139"/>
      <c r="Q27" s="139"/>
      <c r="R27" s="117" t="s">
        <v>376</v>
      </c>
      <c r="S27" s="117" t="s">
        <v>439</v>
      </c>
      <c r="T27" s="117" t="str">
        <f ca="1">D26&amp;"/"&amp;F27</f>
        <v>013/DO11-</v>
      </c>
      <c r="U27" s="117" t="s">
        <v>532</v>
      </c>
      <c r="V27" s="73">
        <v>10</v>
      </c>
      <c r="W27" s="142"/>
      <c r="X27" s="151"/>
    </row>
    <row r="28" spans="1:24" ht="18" customHeight="1" x14ac:dyDescent="0.25">
      <c r="A28" s="169" t="s">
        <v>263</v>
      </c>
      <c r="B28" s="101" t="s">
        <v>264</v>
      </c>
      <c r="C28" s="102" t="s">
        <v>83</v>
      </c>
      <c r="D28" s="143" t="str" cm="1">
        <f t="array" aca="1" ref="D28" ca="1">_xlfn.LET(_xlpm.filepath,CELL("filename",D28),MID(_xlpm.filepath,FIND("]",_xlpm.filepath)+1,3))</f>
        <v>013</v>
      </c>
      <c r="E28" s="144" t="s">
        <v>108</v>
      </c>
      <c r="F28" s="104" t="str">
        <f>"DO"&amp;E28&amp;"+"</f>
        <v>DO12+</v>
      </c>
      <c r="G28" s="102" t="s">
        <v>232</v>
      </c>
      <c r="H28" s="102" t="s">
        <v>233</v>
      </c>
      <c r="I28" s="103" t="s">
        <v>413</v>
      </c>
      <c r="J28" s="102"/>
      <c r="K28" s="102"/>
      <c r="L28" s="102"/>
      <c r="M28" s="102"/>
      <c r="N28" s="102"/>
      <c r="O28" s="102"/>
      <c r="P28" s="102" t="s">
        <v>75</v>
      </c>
      <c r="Q28" s="102" t="s">
        <v>249</v>
      </c>
      <c r="R28" s="104" t="s">
        <v>378</v>
      </c>
      <c r="S28" s="104" t="s">
        <v>439</v>
      </c>
      <c r="T28" s="104" t="str">
        <f ca="1">D28&amp;"/"&amp;F28</f>
        <v>013/DO12+</v>
      </c>
      <c r="U28" s="104" t="s">
        <v>532</v>
      </c>
      <c r="V28" s="74">
        <v>13</v>
      </c>
      <c r="W28" s="103" t="s">
        <v>475</v>
      </c>
      <c r="X28" s="105" t="s">
        <v>91</v>
      </c>
    </row>
    <row r="29" spans="1:24" ht="18" customHeight="1" x14ac:dyDescent="0.25">
      <c r="A29" s="170"/>
      <c r="B29" s="126"/>
      <c r="C29" s="127"/>
      <c r="D29" s="145"/>
      <c r="E29" s="146"/>
      <c r="F29" s="147" t="str">
        <f>"DO"&amp;E28&amp;"-"</f>
        <v>DO12-</v>
      </c>
      <c r="G29" s="127"/>
      <c r="H29" s="127"/>
      <c r="I29" s="128" t="s">
        <v>414</v>
      </c>
      <c r="J29" s="127"/>
      <c r="K29" s="127"/>
      <c r="L29" s="127"/>
      <c r="M29" s="127"/>
      <c r="N29" s="127"/>
      <c r="O29" s="127"/>
      <c r="P29" s="129"/>
      <c r="Q29" s="127"/>
      <c r="R29" s="147" t="s">
        <v>376</v>
      </c>
      <c r="S29" s="147" t="s">
        <v>439</v>
      </c>
      <c r="T29" s="147" t="str">
        <f ca="1">D28&amp;"/"&amp;F29</f>
        <v>013/DO12-</v>
      </c>
      <c r="U29" s="147" t="s">
        <v>532</v>
      </c>
      <c r="V29" s="75">
        <v>14</v>
      </c>
      <c r="W29" s="128"/>
      <c r="X29" s="130"/>
    </row>
    <row r="30" spans="1:24" ht="18" customHeight="1" x14ac:dyDescent="0.25">
      <c r="A30" s="171" t="s">
        <v>292</v>
      </c>
      <c r="B30" s="120" t="s">
        <v>293</v>
      </c>
      <c r="C30" s="121" t="s">
        <v>83</v>
      </c>
      <c r="D30" s="148" t="str" cm="1">
        <f t="array" aca="1" ref="D30" ca="1">_xlfn.LET(_xlpm.filepath,CELL("filename",D30),MID(_xlpm.filepath,FIND("]",_xlpm.filepath)+1,3))</f>
        <v>013</v>
      </c>
      <c r="E30" s="149" t="s">
        <v>262</v>
      </c>
      <c r="F30" s="123" t="str">
        <f>"DO"&amp;E30&amp;"+"</f>
        <v>DO13+</v>
      </c>
      <c r="G30" s="121" t="s">
        <v>232</v>
      </c>
      <c r="H30" s="121" t="s">
        <v>233</v>
      </c>
      <c r="I30" s="122" t="s">
        <v>415</v>
      </c>
      <c r="J30" s="121"/>
      <c r="K30" s="121"/>
      <c r="L30" s="121"/>
      <c r="M30" s="121"/>
      <c r="N30" s="121"/>
      <c r="O30" s="121"/>
      <c r="P30" s="121" t="s">
        <v>56</v>
      </c>
      <c r="Q30" s="121" t="s">
        <v>294</v>
      </c>
      <c r="R30" s="123" t="s">
        <v>378</v>
      </c>
      <c r="S30" s="123" t="s">
        <v>439</v>
      </c>
      <c r="T30" s="123" t="str">
        <f ca="1">D30&amp;"/"&amp;F30</f>
        <v>013/DO13+</v>
      </c>
      <c r="U30" s="123" t="s">
        <v>531</v>
      </c>
      <c r="V30" s="60">
        <v>1</v>
      </c>
      <c r="W30" s="124" t="s">
        <v>475</v>
      </c>
      <c r="X30" s="150">
        <v>0</v>
      </c>
    </row>
    <row r="31" spans="1:24" ht="18" customHeight="1" x14ac:dyDescent="0.25">
      <c r="A31" s="168"/>
      <c r="B31" s="138"/>
      <c r="C31" s="139"/>
      <c r="D31" s="140"/>
      <c r="E31" s="141"/>
      <c r="F31" s="117" t="str">
        <f>"DO"&amp;E30&amp;"-"</f>
        <v>DO13-</v>
      </c>
      <c r="G31" s="139"/>
      <c r="H31" s="139"/>
      <c r="I31" s="164" t="s">
        <v>416</v>
      </c>
      <c r="J31" s="139"/>
      <c r="K31" s="139"/>
      <c r="L31" s="139"/>
      <c r="M31" s="139"/>
      <c r="N31" s="139"/>
      <c r="O31" s="139"/>
      <c r="P31" s="139"/>
      <c r="Q31" s="139"/>
      <c r="R31" s="117" t="s">
        <v>376</v>
      </c>
      <c r="S31" s="117" t="s">
        <v>439</v>
      </c>
      <c r="T31" s="117" t="str">
        <f ca="1">D30&amp;"/"&amp;F31</f>
        <v>013/DO13-</v>
      </c>
      <c r="U31" s="117" t="s">
        <v>531</v>
      </c>
      <c r="V31" s="73">
        <v>2</v>
      </c>
      <c r="W31" s="142"/>
      <c r="X31" s="151"/>
    </row>
    <row r="32" spans="1:24" ht="18" customHeight="1" x14ac:dyDescent="0.25">
      <c r="A32" s="169" t="s">
        <v>295</v>
      </c>
      <c r="B32" s="101" t="s">
        <v>296</v>
      </c>
      <c r="C32" s="102" t="s">
        <v>83</v>
      </c>
      <c r="D32" s="143" t="str" cm="1">
        <f t="array" aca="1" ref="D32" ca="1">_xlfn.LET(_xlpm.filepath,CELL("filename",D32),MID(_xlpm.filepath,FIND("]",_xlpm.filepath)+1,3))</f>
        <v>013</v>
      </c>
      <c r="E32" s="144" t="s">
        <v>112</v>
      </c>
      <c r="F32" s="104" t="str">
        <f>"DO"&amp;E32&amp;"+"</f>
        <v>DO14+</v>
      </c>
      <c r="G32" s="102" t="s">
        <v>232</v>
      </c>
      <c r="H32" s="102" t="s">
        <v>233</v>
      </c>
      <c r="I32" s="103" t="s">
        <v>417</v>
      </c>
      <c r="J32" s="102"/>
      <c r="K32" s="102"/>
      <c r="L32" s="102"/>
      <c r="M32" s="102"/>
      <c r="N32" s="102"/>
      <c r="O32" s="102"/>
      <c r="P32" s="102" t="s">
        <v>56</v>
      </c>
      <c r="Q32" s="102" t="s">
        <v>294</v>
      </c>
      <c r="R32" s="104" t="s">
        <v>378</v>
      </c>
      <c r="S32" s="104" t="s">
        <v>439</v>
      </c>
      <c r="T32" s="104" t="str">
        <f ca="1">D32&amp;"/"&amp;F32</f>
        <v>013/DO14+</v>
      </c>
      <c r="U32" s="104" t="s">
        <v>531</v>
      </c>
      <c r="V32" s="74">
        <v>3</v>
      </c>
      <c r="W32" s="103" t="s">
        <v>475</v>
      </c>
      <c r="X32" s="105" t="s">
        <v>91</v>
      </c>
    </row>
    <row r="33" spans="1:24" ht="18" customHeight="1" x14ac:dyDescent="0.25">
      <c r="A33" s="170"/>
      <c r="B33" s="126"/>
      <c r="C33" s="127"/>
      <c r="D33" s="145"/>
      <c r="E33" s="146"/>
      <c r="F33" s="147" t="str">
        <f>"DO"&amp;E32&amp;"-"</f>
        <v>DO14-</v>
      </c>
      <c r="G33" s="127"/>
      <c r="H33" s="127"/>
      <c r="I33" s="128" t="s">
        <v>418</v>
      </c>
      <c r="J33" s="127"/>
      <c r="K33" s="127"/>
      <c r="L33" s="127"/>
      <c r="M33" s="127"/>
      <c r="N33" s="127"/>
      <c r="O33" s="127"/>
      <c r="P33" s="129"/>
      <c r="Q33" s="127"/>
      <c r="R33" s="147" t="s">
        <v>376</v>
      </c>
      <c r="S33" s="147" t="s">
        <v>439</v>
      </c>
      <c r="T33" s="147" t="str">
        <f ca="1">D32&amp;"/"&amp;F33</f>
        <v>013/DO14-</v>
      </c>
      <c r="U33" s="147" t="s">
        <v>531</v>
      </c>
      <c r="V33" s="75">
        <v>4</v>
      </c>
      <c r="W33" s="128"/>
      <c r="X33" s="130"/>
    </row>
    <row r="34" spans="1:24" ht="18" customHeight="1" x14ac:dyDescent="0.25">
      <c r="A34" s="171" t="s">
        <v>297</v>
      </c>
      <c r="B34" s="120" t="s">
        <v>298</v>
      </c>
      <c r="C34" s="121" t="s">
        <v>83</v>
      </c>
      <c r="D34" s="148" t="str" cm="1">
        <f t="array" aca="1" ref="D34" ca="1">_xlfn.LET(_xlpm.filepath,CELL("filename",D34),MID(_xlpm.filepath,FIND("]",_xlpm.filepath)+1,3))</f>
        <v>013</v>
      </c>
      <c r="E34" s="149" t="s">
        <v>267</v>
      </c>
      <c r="F34" s="123" t="str">
        <f>"DO"&amp;E34&amp;"+"</f>
        <v>DO15+</v>
      </c>
      <c r="G34" s="121" t="s">
        <v>232</v>
      </c>
      <c r="H34" s="121" t="s">
        <v>233</v>
      </c>
      <c r="I34" s="122" t="s">
        <v>419</v>
      </c>
      <c r="J34" s="121"/>
      <c r="K34" s="121"/>
      <c r="L34" s="121"/>
      <c r="M34" s="121"/>
      <c r="N34" s="121"/>
      <c r="O34" s="121"/>
      <c r="P34" s="121" t="s">
        <v>56</v>
      </c>
      <c r="Q34" s="121" t="s">
        <v>294</v>
      </c>
      <c r="R34" s="123" t="s">
        <v>378</v>
      </c>
      <c r="S34" s="123" t="s">
        <v>439</v>
      </c>
      <c r="T34" s="123" t="str">
        <f ca="1">D34&amp;"/"&amp;F34</f>
        <v>013/DO15+</v>
      </c>
      <c r="U34" s="123" t="s">
        <v>531</v>
      </c>
      <c r="V34" s="60">
        <v>5</v>
      </c>
      <c r="W34" s="124" t="s">
        <v>475</v>
      </c>
      <c r="X34" s="150">
        <v>0</v>
      </c>
    </row>
    <row r="35" spans="1:24" ht="18" customHeight="1" x14ac:dyDescent="0.25">
      <c r="A35" s="168"/>
      <c r="B35" s="138"/>
      <c r="C35" s="139"/>
      <c r="D35" s="140"/>
      <c r="E35" s="141"/>
      <c r="F35" s="117" t="str">
        <f>"DO"&amp;E34&amp;"-"</f>
        <v>DO15-</v>
      </c>
      <c r="G35" s="139"/>
      <c r="H35" s="139"/>
      <c r="I35" s="164" t="s">
        <v>420</v>
      </c>
      <c r="J35" s="139"/>
      <c r="K35" s="139"/>
      <c r="L35" s="139"/>
      <c r="M35" s="139"/>
      <c r="N35" s="139"/>
      <c r="O35" s="139"/>
      <c r="P35" s="139"/>
      <c r="Q35" s="139"/>
      <c r="R35" s="117" t="s">
        <v>376</v>
      </c>
      <c r="S35" s="117" t="s">
        <v>439</v>
      </c>
      <c r="T35" s="117" t="str">
        <f ca="1">D34&amp;"/"&amp;F35</f>
        <v>013/DO15-</v>
      </c>
      <c r="U35" s="117" t="s">
        <v>531</v>
      </c>
      <c r="V35" s="73">
        <v>6</v>
      </c>
      <c r="W35" s="142"/>
      <c r="X35" s="151"/>
    </row>
    <row r="36" spans="1:24" ht="18" customHeight="1" x14ac:dyDescent="0.25">
      <c r="A36" s="169" t="s">
        <v>281</v>
      </c>
      <c r="B36" s="101" t="s">
        <v>282</v>
      </c>
      <c r="C36" s="102" t="s">
        <v>83</v>
      </c>
      <c r="D36" s="143" t="str" cm="1">
        <f t="array" aca="1" ref="D36" ca="1">_xlfn.LET(_xlpm.filepath,CELL("filename",D36),MID(_xlpm.filepath,FIND("]",_xlpm.filepath)+1,3))</f>
        <v>013</v>
      </c>
      <c r="E36" s="144" t="s">
        <v>118</v>
      </c>
      <c r="F36" s="104" t="str">
        <f>"DO"&amp;E36&amp;"+"</f>
        <v>DO16+</v>
      </c>
      <c r="G36" s="102" t="s">
        <v>232</v>
      </c>
      <c r="H36" s="102" t="s">
        <v>233</v>
      </c>
      <c r="I36" s="103" t="s">
        <v>421</v>
      </c>
      <c r="J36" s="102"/>
      <c r="K36" s="102"/>
      <c r="L36" s="102"/>
      <c r="M36" s="102"/>
      <c r="N36" s="102"/>
      <c r="O36" s="102"/>
      <c r="P36" s="102" t="s">
        <v>75</v>
      </c>
      <c r="Q36" s="102" t="s">
        <v>281</v>
      </c>
      <c r="R36" s="104" t="s">
        <v>378</v>
      </c>
      <c r="S36" s="104" t="s">
        <v>439</v>
      </c>
      <c r="T36" s="104" t="str">
        <f ca="1">D36&amp;"/"&amp;F36</f>
        <v>013/DO16+</v>
      </c>
      <c r="U36" s="104" t="s">
        <v>524</v>
      </c>
      <c r="V36" s="74">
        <v>1</v>
      </c>
      <c r="W36" s="103" t="s">
        <v>475</v>
      </c>
      <c r="X36" s="105" t="s">
        <v>91</v>
      </c>
    </row>
    <row r="37" spans="1:24" ht="18" customHeight="1" x14ac:dyDescent="0.25">
      <c r="A37" s="170"/>
      <c r="B37" s="126"/>
      <c r="C37" s="127"/>
      <c r="D37" s="145"/>
      <c r="E37" s="146"/>
      <c r="F37" s="147" t="str">
        <f>"DO"&amp;E36&amp;"-"</f>
        <v>DO16-</v>
      </c>
      <c r="G37" s="127"/>
      <c r="H37" s="127"/>
      <c r="I37" s="128" t="s">
        <v>422</v>
      </c>
      <c r="J37" s="127"/>
      <c r="K37" s="127"/>
      <c r="L37" s="127"/>
      <c r="M37" s="127"/>
      <c r="N37" s="127"/>
      <c r="O37" s="127"/>
      <c r="P37" s="129"/>
      <c r="Q37" s="127"/>
      <c r="R37" s="147" t="s">
        <v>376</v>
      </c>
      <c r="S37" s="147" t="s">
        <v>439</v>
      </c>
      <c r="T37" s="147" t="str">
        <f ca="1">D36&amp;"/"&amp;F37</f>
        <v>013/DO16-</v>
      </c>
      <c r="U37" s="147" t="s">
        <v>524</v>
      </c>
      <c r="V37" s="75">
        <v>2</v>
      </c>
      <c r="W37" s="128"/>
      <c r="X37" s="130"/>
    </row>
    <row r="38" spans="1:24" ht="18" customHeight="1" x14ac:dyDescent="0.25">
      <c r="A38" s="171" t="s">
        <v>348</v>
      </c>
      <c r="B38" s="120" t="s">
        <v>530</v>
      </c>
      <c r="C38" s="121" t="s">
        <v>83</v>
      </c>
      <c r="D38" s="148" t="str" cm="1">
        <f t="array" aca="1" ref="D38" ca="1">_xlfn.LET(_xlpm.filepath,CELL("filename",D38),MID(_xlpm.filepath,FIND("]",_xlpm.filepath)+1,3))</f>
        <v>013</v>
      </c>
      <c r="E38" s="149" t="s">
        <v>270</v>
      </c>
      <c r="F38" s="123" t="str">
        <f>"DO"&amp;E38&amp;"+"</f>
        <v>DO17+</v>
      </c>
      <c r="G38" s="121" t="s">
        <v>232</v>
      </c>
      <c r="H38" s="121" t="s">
        <v>233</v>
      </c>
      <c r="I38" s="122" t="s">
        <v>423</v>
      </c>
      <c r="J38" s="121"/>
      <c r="K38" s="121"/>
      <c r="L38" s="121"/>
      <c r="M38" s="121"/>
      <c r="N38" s="121"/>
      <c r="O38" s="121"/>
      <c r="P38" s="121" t="s">
        <v>56</v>
      </c>
      <c r="Q38" s="121" t="s">
        <v>349</v>
      </c>
      <c r="R38" s="123" t="s">
        <v>378</v>
      </c>
      <c r="S38" s="123" t="s">
        <v>439</v>
      </c>
      <c r="T38" s="123" t="str">
        <f ca="1">D38&amp;"/"&amp;F38</f>
        <v>013/DO17+</v>
      </c>
      <c r="U38" s="123" t="s">
        <v>528</v>
      </c>
      <c r="V38" s="60">
        <v>1</v>
      </c>
      <c r="W38" s="124" t="s">
        <v>475</v>
      </c>
      <c r="X38" s="150">
        <v>0</v>
      </c>
    </row>
    <row r="39" spans="1:24" ht="18" customHeight="1" x14ac:dyDescent="0.25">
      <c r="A39" s="168"/>
      <c r="B39" s="138"/>
      <c r="C39" s="139"/>
      <c r="D39" s="140"/>
      <c r="E39" s="141"/>
      <c r="F39" s="117" t="str">
        <f>"DO"&amp;E38&amp;"-"</f>
        <v>DO17-</v>
      </c>
      <c r="G39" s="139"/>
      <c r="H39" s="139"/>
      <c r="I39" s="164" t="s">
        <v>424</v>
      </c>
      <c r="J39" s="139"/>
      <c r="K39" s="139"/>
      <c r="L39" s="139"/>
      <c r="M39" s="139"/>
      <c r="N39" s="139"/>
      <c r="O39" s="139"/>
      <c r="P39" s="139"/>
      <c r="Q39" s="139"/>
      <c r="R39" s="117" t="s">
        <v>376</v>
      </c>
      <c r="S39" s="117" t="s">
        <v>439</v>
      </c>
      <c r="T39" s="117" t="str">
        <f ca="1">D38&amp;"/"&amp;F39</f>
        <v>013/DO17-</v>
      </c>
      <c r="U39" s="117" t="s">
        <v>528</v>
      </c>
      <c r="V39" s="73">
        <v>2</v>
      </c>
      <c r="W39" s="142"/>
      <c r="X39" s="151"/>
    </row>
    <row r="40" spans="1:24" ht="18" customHeight="1" x14ac:dyDescent="0.25">
      <c r="A40" s="169" t="s">
        <v>350</v>
      </c>
      <c r="B40" s="101" t="s">
        <v>529</v>
      </c>
      <c r="C40" s="102" t="s">
        <v>83</v>
      </c>
      <c r="D40" s="143" t="str" cm="1">
        <f t="array" aca="1" ref="D40" ca="1">_xlfn.LET(_xlpm.filepath,CELL("filename",D40),MID(_xlpm.filepath,FIND("]",_xlpm.filepath)+1,3))</f>
        <v>013</v>
      </c>
      <c r="E40" s="144" t="s">
        <v>123</v>
      </c>
      <c r="F40" s="104" t="str">
        <f>"DO"&amp;E40&amp;"+"</f>
        <v>DO18+</v>
      </c>
      <c r="G40" s="102" t="s">
        <v>232</v>
      </c>
      <c r="H40" s="102" t="s">
        <v>233</v>
      </c>
      <c r="I40" s="103" t="s">
        <v>425</v>
      </c>
      <c r="J40" s="102"/>
      <c r="K40" s="102"/>
      <c r="L40" s="102"/>
      <c r="M40" s="102"/>
      <c r="N40" s="102"/>
      <c r="O40" s="102"/>
      <c r="P40" s="102" t="s">
        <v>56</v>
      </c>
      <c r="Q40" s="102" t="s">
        <v>349</v>
      </c>
      <c r="R40" s="104" t="s">
        <v>378</v>
      </c>
      <c r="S40" s="104" t="s">
        <v>439</v>
      </c>
      <c r="T40" s="104" t="str">
        <f ca="1">D40&amp;"/"&amp;F40</f>
        <v>013/DO18+</v>
      </c>
      <c r="U40" s="104" t="s">
        <v>528</v>
      </c>
      <c r="V40" s="74">
        <v>3</v>
      </c>
      <c r="W40" s="103" t="s">
        <v>475</v>
      </c>
      <c r="X40" s="105" t="s">
        <v>91</v>
      </c>
    </row>
    <row r="41" spans="1:24" ht="18" customHeight="1" thickBot="1" x14ac:dyDescent="0.3">
      <c r="A41" s="170"/>
      <c r="B41" s="126"/>
      <c r="C41" s="127"/>
      <c r="D41" s="145"/>
      <c r="E41" s="146"/>
      <c r="F41" s="147" t="str">
        <f>"DO"&amp;E40&amp;"-"</f>
        <v>DO18-</v>
      </c>
      <c r="G41" s="127"/>
      <c r="H41" s="127"/>
      <c r="I41" s="128" t="s">
        <v>426</v>
      </c>
      <c r="J41" s="127"/>
      <c r="K41" s="127"/>
      <c r="L41" s="127"/>
      <c r="M41" s="127"/>
      <c r="N41" s="127"/>
      <c r="O41" s="127"/>
      <c r="P41" s="129"/>
      <c r="Q41" s="127"/>
      <c r="R41" s="147" t="s">
        <v>376</v>
      </c>
      <c r="S41" s="147" t="s">
        <v>439</v>
      </c>
      <c r="T41" s="147" t="str">
        <f ca="1">D40&amp;"/"&amp;F41</f>
        <v>013/DO18-</v>
      </c>
      <c r="U41" s="241" t="s">
        <v>528</v>
      </c>
      <c r="V41" s="240">
        <v>4</v>
      </c>
      <c r="W41" s="128"/>
      <c r="X41" s="130"/>
    </row>
    <row r="42" spans="1:24" ht="18" customHeight="1" thickTop="1" x14ac:dyDescent="0.25">
      <c r="A42" s="391" t="s">
        <v>717</v>
      </c>
      <c r="B42" s="392" t="s">
        <v>718</v>
      </c>
      <c r="C42" s="121" t="s">
        <v>83</v>
      </c>
      <c r="D42" s="148" t="str" cm="1">
        <f t="array" aca="1" ref="D42" ca="1">_xlfn.LET(_xlpm.filepath,CELL("filename",D42),MID(_xlpm.filepath,FIND("]",_xlpm.filepath)+1,3))</f>
        <v>013</v>
      </c>
      <c r="E42" s="149" t="s">
        <v>275</v>
      </c>
      <c r="F42" s="123" t="str">
        <f>"DO"&amp;E42&amp;"+"</f>
        <v>DO19+</v>
      </c>
      <c r="G42" s="121" t="s">
        <v>232</v>
      </c>
      <c r="H42" s="121" t="s">
        <v>233</v>
      </c>
      <c r="I42" s="122" t="s">
        <v>427</v>
      </c>
      <c r="J42" s="121"/>
      <c r="K42" s="121"/>
      <c r="L42" s="121"/>
      <c r="M42" s="121"/>
      <c r="N42" s="121"/>
      <c r="O42" s="121"/>
      <c r="P42" s="397" t="s">
        <v>63</v>
      </c>
      <c r="Q42" s="395" t="s">
        <v>535</v>
      </c>
      <c r="R42" s="123" t="s">
        <v>378</v>
      </c>
      <c r="S42" s="123" t="s">
        <v>439</v>
      </c>
      <c r="T42" s="123" t="str">
        <f ca="1">D42&amp;"/"&amp;F42</f>
        <v>013/DO19+</v>
      </c>
      <c r="U42" s="404" t="s">
        <v>484</v>
      </c>
      <c r="V42" s="411">
        <v>43</v>
      </c>
      <c r="W42" s="124" t="s">
        <v>475</v>
      </c>
      <c r="X42" s="379" t="s">
        <v>711</v>
      </c>
    </row>
    <row r="43" spans="1:24" ht="18" customHeight="1" x14ac:dyDescent="0.25">
      <c r="A43" s="393"/>
      <c r="B43" s="394"/>
      <c r="C43" s="139"/>
      <c r="D43" s="140"/>
      <c r="E43" s="141"/>
      <c r="F43" s="117" t="str">
        <f>"DO"&amp;E42&amp;"-"</f>
        <v>DO19-</v>
      </c>
      <c r="G43" s="139"/>
      <c r="H43" s="139"/>
      <c r="I43" s="164" t="s">
        <v>428</v>
      </c>
      <c r="J43" s="139"/>
      <c r="K43" s="139"/>
      <c r="L43" s="139"/>
      <c r="M43" s="139"/>
      <c r="N43" s="139"/>
      <c r="O43" s="139"/>
      <c r="P43" s="398"/>
      <c r="Q43" s="396"/>
      <c r="R43" s="117" t="s">
        <v>376</v>
      </c>
      <c r="S43" s="117" t="s">
        <v>439</v>
      </c>
      <c r="T43" s="117" t="str">
        <f ca="1">D42&amp;"/"&amp;F43</f>
        <v>013/DO19-</v>
      </c>
      <c r="U43" s="408" t="s">
        <v>484</v>
      </c>
      <c r="V43" s="413">
        <v>44</v>
      </c>
      <c r="W43" s="142"/>
      <c r="X43" s="151"/>
    </row>
    <row r="44" spans="1:24" ht="18" customHeight="1" x14ac:dyDescent="0.25">
      <c r="A44" s="391" t="s">
        <v>719</v>
      </c>
      <c r="B44" s="392" t="s">
        <v>720</v>
      </c>
      <c r="C44" s="102" t="s">
        <v>83</v>
      </c>
      <c r="D44" s="143" t="str" cm="1">
        <f t="array" aca="1" ref="D44" ca="1">_xlfn.LET(_xlpm.filepath,CELL("filename",D44),MID(_xlpm.filepath,FIND("]",_xlpm.filepath)+1,3))</f>
        <v>013</v>
      </c>
      <c r="E44" s="144" t="s">
        <v>128</v>
      </c>
      <c r="F44" s="104" t="str">
        <f>"DO"&amp;E44&amp;"+"</f>
        <v>DO20+</v>
      </c>
      <c r="G44" s="102" t="s">
        <v>232</v>
      </c>
      <c r="H44" s="102" t="s">
        <v>233</v>
      </c>
      <c r="I44" s="103" t="s">
        <v>429</v>
      </c>
      <c r="J44" s="102"/>
      <c r="K44" s="102"/>
      <c r="L44" s="102"/>
      <c r="M44" s="102"/>
      <c r="N44" s="102"/>
      <c r="O44" s="102"/>
      <c r="P44" s="397" t="s">
        <v>63</v>
      </c>
      <c r="Q44" s="395" t="s">
        <v>697</v>
      </c>
      <c r="R44" s="104" t="s">
        <v>378</v>
      </c>
      <c r="S44" s="104" t="s">
        <v>439</v>
      </c>
      <c r="T44" s="104" t="str">
        <f ca="1">D44&amp;"/"&amp;F44</f>
        <v>013/DO20+</v>
      </c>
      <c r="U44" s="410" t="s">
        <v>484</v>
      </c>
      <c r="V44" s="405">
        <v>47</v>
      </c>
      <c r="W44" s="103" t="s">
        <v>475</v>
      </c>
      <c r="X44" s="401" t="s">
        <v>711</v>
      </c>
    </row>
    <row r="45" spans="1:24" ht="18" customHeight="1" x14ac:dyDescent="0.25">
      <c r="A45" s="393"/>
      <c r="B45" s="394"/>
      <c r="C45" s="127"/>
      <c r="D45" s="145"/>
      <c r="E45" s="146"/>
      <c r="F45" s="147" t="str">
        <f>"DO"&amp;E44&amp;"-"</f>
        <v>DO20-</v>
      </c>
      <c r="G45" s="127"/>
      <c r="H45" s="127"/>
      <c r="I45" s="128" t="s">
        <v>430</v>
      </c>
      <c r="J45" s="127"/>
      <c r="K45" s="127"/>
      <c r="L45" s="127"/>
      <c r="M45" s="127"/>
      <c r="N45" s="127"/>
      <c r="O45" s="127"/>
      <c r="P45" s="399"/>
      <c r="Q45" s="396"/>
      <c r="R45" s="147" t="s">
        <v>376</v>
      </c>
      <c r="S45" s="147" t="s">
        <v>439</v>
      </c>
      <c r="T45" s="147" t="str">
        <f ca="1">D44&amp;"/"&amp;F45</f>
        <v>013/DO20-</v>
      </c>
      <c r="U45" s="412" t="s">
        <v>484</v>
      </c>
      <c r="V45" s="409">
        <v>48</v>
      </c>
      <c r="W45" s="128"/>
      <c r="X45" s="130"/>
    </row>
    <row r="46" spans="1:24" ht="18" customHeight="1" x14ac:dyDescent="0.25">
      <c r="A46" s="391" t="s">
        <v>721</v>
      </c>
      <c r="B46" s="392" t="s">
        <v>722</v>
      </c>
      <c r="C46" s="121" t="s">
        <v>83</v>
      </c>
      <c r="D46" s="148" t="str" cm="1">
        <f t="array" aca="1" ref="D46" ca="1">_xlfn.LET(_xlpm.filepath,CELL("filename",D46),MID(_xlpm.filepath,FIND("]",_xlpm.filepath)+1,3))</f>
        <v>013</v>
      </c>
      <c r="E46" s="149" t="s">
        <v>280</v>
      </c>
      <c r="F46" s="123" t="str">
        <f>"DO"&amp;E46&amp;"+"</f>
        <v>DO21+</v>
      </c>
      <c r="G46" s="121" t="s">
        <v>232</v>
      </c>
      <c r="H46" s="121" t="s">
        <v>233</v>
      </c>
      <c r="I46" s="122" t="s">
        <v>431</v>
      </c>
      <c r="J46" s="121"/>
      <c r="K46" s="121"/>
      <c r="L46" s="121"/>
      <c r="M46" s="121"/>
      <c r="N46" s="121"/>
      <c r="O46" s="121"/>
      <c r="P46" s="397" t="s">
        <v>63</v>
      </c>
      <c r="Q46" s="395" t="s">
        <v>698</v>
      </c>
      <c r="R46" s="123" t="s">
        <v>378</v>
      </c>
      <c r="S46" s="123" t="s">
        <v>439</v>
      </c>
      <c r="T46" s="123" t="str">
        <f ca="1">D46&amp;"/"&amp;F46</f>
        <v>013/DO21+</v>
      </c>
      <c r="U46" s="404" t="s">
        <v>484</v>
      </c>
      <c r="V46" s="411">
        <v>51</v>
      </c>
      <c r="W46" s="124" t="s">
        <v>475</v>
      </c>
      <c r="X46" s="379" t="s">
        <v>711</v>
      </c>
    </row>
    <row r="47" spans="1:24" ht="18" customHeight="1" x14ac:dyDescent="0.25">
      <c r="A47" s="393"/>
      <c r="B47" s="394"/>
      <c r="C47" s="139"/>
      <c r="D47" s="140"/>
      <c r="E47" s="141"/>
      <c r="F47" s="117" t="str">
        <f>"DO"&amp;E46&amp;"-"</f>
        <v>DO21-</v>
      </c>
      <c r="G47" s="139"/>
      <c r="H47" s="139"/>
      <c r="I47" s="164" t="s">
        <v>432</v>
      </c>
      <c r="J47" s="139"/>
      <c r="K47" s="139"/>
      <c r="L47" s="139"/>
      <c r="M47" s="139"/>
      <c r="N47" s="139"/>
      <c r="O47" s="139"/>
      <c r="P47" s="398"/>
      <c r="Q47" s="396"/>
      <c r="R47" s="117" t="s">
        <v>376</v>
      </c>
      <c r="S47" s="117" t="s">
        <v>439</v>
      </c>
      <c r="T47" s="117" t="str">
        <f ca="1">D46&amp;"/"&amp;F47</f>
        <v>013/DO21-</v>
      </c>
      <c r="U47" s="408" t="s">
        <v>484</v>
      </c>
      <c r="V47" s="413">
        <v>52</v>
      </c>
      <c r="W47" s="142"/>
      <c r="X47" s="151"/>
    </row>
    <row r="48" spans="1:24" ht="18" customHeight="1" x14ac:dyDescent="0.25">
      <c r="A48" s="391" t="s">
        <v>727</v>
      </c>
      <c r="B48" s="392" t="s">
        <v>723</v>
      </c>
      <c r="C48" s="102" t="s">
        <v>83</v>
      </c>
      <c r="D48" s="143" t="str" cm="1">
        <f t="array" aca="1" ref="D48" ca="1">_xlfn.LET(_xlpm.filepath,CELL("filename",D48),MID(_xlpm.filepath,FIND("]",_xlpm.filepath)+1,3))</f>
        <v>013</v>
      </c>
      <c r="E48" s="144" t="s">
        <v>132</v>
      </c>
      <c r="F48" s="104" t="str">
        <f>"DO"&amp;E48&amp;"+"</f>
        <v>DO22+</v>
      </c>
      <c r="G48" s="102" t="s">
        <v>232</v>
      </c>
      <c r="H48" s="102" t="s">
        <v>233</v>
      </c>
      <c r="I48" s="103" t="s">
        <v>433</v>
      </c>
      <c r="J48" s="102"/>
      <c r="K48" s="102"/>
      <c r="L48" s="102"/>
      <c r="M48" s="102"/>
      <c r="N48" s="102"/>
      <c r="O48" s="102"/>
      <c r="P48" s="397" t="s">
        <v>63</v>
      </c>
      <c r="Q48" s="395" t="s">
        <v>699</v>
      </c>
      <c r="R48" s="104" t="s">
        <v>378</v>
      </c>
      <c r="S48" s="104" t="s">
        <v>439</v>
      </c>
      <c r="T48" s="104" t="str">
        <f ca="1">D48&amp;"/"&amp;F48</f>
        <v>013/DO22+</v>
      </c>
      <c r="U48" s="410" t="s">
        <v>484</v>
      </c>
      <c r="V48" s="405">
        <v>55</v>
      </c>
      <c r="W48" s="103" t="s">
        <v>475</v>
      </c>
      <c r="X48" s="401" t="s">
        <v>711</v>
      </c>
    </row>
    <row r="49" spans="1:24" ht="18" customHeight="1" x14ac:dyDescent="0.25">
      <c r="A49" s="393"/>
      <c r="B49" s="394"/>
      <c r="C49" s="127"/>
      <c r="D49" s="145"/>
      <c r="E49" s="146"/>
      <c r="F49" s="147" t="str">
        <f>"DO"&amp;E48&amp;"-"</f>
        <v>DO22-</v>
      </c>
      <c r="G49" s="127"/>
      <c r="H49" s="127"/>
      <c r="I49" s="128" t="s">
        <v>434</v>
      </c>
      <c r="J49" s="127"/>
      <c r="K49" s="127"/>
      <c r="L49" s="127"/>
      <c r="M49" s="127"/>
      <c r="N49" s="127"/>
      <c r="O49" s="127"/>
      <c r="P49" s="399"/>
      <c r="Q49" s="396"/>
      <c r="R49" s="147" t="s">
        <v>376</v>
      </c>
      <c r="S49" s="147" t="s">
        <v>439</v>
      </c>
      <c r="T49" s="147" t="str">
        <f ca="1">D48&amp;"/"&amp;F49</f>
        <v>013/DO22-</v>
      </c>
      <c r="U49" s="412" t="s">
        <v>484</v>
      </c>
      <c r="V49" s="409">
        <v>56</v>
      </c>
      <c r="W49" s="128"/>
      <c r="X49" s="130"/>
    </row>
    <row r="50" spans="1:24" ht="18" customHeight="1" x14ac:dyDescent="0.25">
      <c r="A50" s="391" t="s">
        <v>728</v>
      </c>
      <c r="B50" s="392" t="s">
        <v>724</v>
      </c>
      <c r="C50" s="121" t="s">
        <v>83</v>
      </c>
      <c r="D50" s="148" t="str" cm="1">
        <f t="array" aca="1" ref="D50" ca="1">_xlfn.LET(_xlpm.filepath,CELL("filename",D50),MID(_xlpm.filepath,FIND("]",_xlpm.filepath)+1,3))</f>
        <v>013</v>
      </c>
      <c r="E50" s="149" t="s">
        <v>283</v>
      </c>
      <c r="F50" s="123" t="str">
        <f>"DO"&amp;E50&amp;"+"</f>
        <v>DO23+</v>
      </c>
      <c r="G50" s="121" t="s">
        <v>232</v>
      </c>
      <c r="H50" s="121" t="s">
        <v>233</v>
      </c>
      <c r="I50" s="122" t="s">
        <v>435</v>
      </c>
      <c r="J50" s="121"/>
      <c r="K50" s="121"/>
      <c r="L50" s="121"/>
      <c r="M50" s="121"/>
      <c r="N50" s="121"/>
      <c r="O50" s="121"/>
      <c r="P50" s="397" t="s">
        <v>63</v>
      </c>
      <c r="Q50" s="395" t="s">
        <v>700</v>
      </c>
      <c r="R50" s="123" t="s">
        <v>378</v>
      </c>
      <c r="S50" s="123" t="s">
        <v>439</v>
      </c>
      <c r="T50" s="123" t="str">
        <f ca="1">D50&amp;"/"&amp;F50</f>
        <v>013/DO23+</v>
      </c>
      <c r="U50" s="404" t="s">
        <v>484</v>
      </c>
      <c r="V50" s="405">
        <v>59</v>
      </c>
      <c r="W50" s="124" t="s">
        <v>475</v>
      </c>
      <c r="X50" s="379" t="s">
        <v>711</v>
      </c>
    </row>
    <row r="51" spans="1:24" ht="18" customHeight="1" x14ac:dyDescent="0.25">
      <c r="A51" s="393"/>
      <c r="B51" s="394"/>
      <c r="C51" s="139"/>
      <c r="D51" s="140"/>
      <c r="E51" s="141"/>
      <c r="F51" s="117" t="str">
        <f>"DO"&amp;E50&amp;"-"</f>
        <v>DO23-</v>
      </c>
      <c r="G51" s="139"/>
      <c r="H51" s="139"/>
      <c r="I51" s="164" t="s">
        <v>436</v>
      </c>
      <c r="J51" s="139"/>
      <c r="K51" s="139"/>
      <c r="L51" s="139"/>
      <c r="M51" s="139"/>
      <c r="N51" s="139"/>
      <c r="O51" s="139"/>
      <c r="P51" s="398"/>
      <c r="Q51" s="396"/>
      <c r="R51" s="117" t="s">
        <v>376</v>
      </c>
      <c r="S51" s="117" t="s">
        <v>439</v>
      </c>
      <c r="T51" s="117" t="str">
        <f ca="1">D50&amp;"/"&amp;F51</f>
        <v>013/DO23-</v>
      </c>
      <c r="U51" s="408" t="s">
        <v>484</v>
      </c>
      <c r="V51" s="409">
        <v>60</v>
      </c>
      <c r="W51" s="142"/>
      <c r="X51" s="151"/>
    </row>
    <row r="52" spans="1:24" ht="18" customHeight="1" x14ac:dyDescent="0.25">
      <c r="A52" s="218" t="s">
        <v>625</v>
      </c>
      <c r="B52" s="101" t="s">
        <v>379</v>
      </c>
      <c r="C52" s="102" t="s">
        <v>83</v>
      </c>
      <c r="D52" s="143" t="str" cm="1">
        <f t="array" aca="1" ref="D52" ca="1">_xlfn.LET(_xlpm.filepath,CELL("filename",D52),MID(_xlpm.filepath,FIND("]",_xlpm.filepath)+1,3))</f>
        <v>013</v>
      </c>
      <c r="E52" s="144" t="s">
        <v>137</v>
      </c>
      <c r="F52" s="104" t="str">
        <f>"DO"&amp;E52&amp;"+"</f>
        <v>DO24+</v>
      </c>
      <c r="G52" s="102" t="s">
        <v>232</v>
      </c>
      <c r="H52" s="102" t="s">
        <v>233</v>
      </c>
      <c r="I52" s="103" t="s">
        <v>437</v>
      </c>
      <c r="J52" s="102"/>
      <c r="K52" s="102"/>
      <c r="L52" s="102"/>
      <c r="M52" s="102"/>
      <c r="N52" s="102"/>
      <c r="O52" s="102"/>
      <c r="P52" s="102"/>
      <c r="Q52" s="102"/>
      <c r="R52" s="104" t="s">
        <v>378</v>
      </c>
      <c r="S52" s="104" t="s">
        <v>439</v>
      </c>
      <c r="T52" s="104" t="str">
        <f ca="1">D52&amp;"/"&amp;F52</f>
        <v>013/DO24+</v>
      </c>
      <c r="U52" s="104" t="s">
        <v>527</v>
      </c>
      <c r="V52" s="74">
        <v>11</v>
      </c>
      <c r="W52" s="103" t="s">
        <v>475</v>
      </c>
      <c r="X52" s="105" t="s">
        <v>91</v>
      </c>
    </row>
    <row r="53" spans="1:24" ht="18" customHeight="1" thickBot="1" x14ac:dyDescent="0.3">
      <c r="A53" s="172"/>
      <c r="B53" s="154"/>
      <c r="C53" s="155"/>
      <c r="D53" s="156"/>
      <c r="E53" s="157"/>
      <c r="F53" s="118" t="str">
        <f>"DO"&amp;E52&amp;"-"</f>
        <v>DO24-</v>
      </c>
      <c r="G53" s="155"/>
      <c r="H53" s="155"/>
      <c r="I53" s="160" t="s">
        <v>438</v>
      </c>
      <c r="J53" s="155"/>
      <c r="K53" s="155"/>
      <c r="L53" s="155"/>
      <c r="M53" s="155"/>
      <c r="N53" s="155"/>
      <c r="O53" s="155"/>
      <c r="P53" s="159"/>
      <c r="Q53" s="155"/>
      <c r="R53" s="118" t="s">
        <v>376</v>
      </c>
      <c r="S53" s="118" t="s">
        <v>439</v>
      </c>
      <c r="T53" s="118" t="str">
        <f ca="1">D52&amp;"/"&amp;F53</f>
        <v>013/DO24-</v>
      </c>
      <c r="U53" s="118" t="s">
        <v>527</v>
      </c>
      <c r="V53" s="76">
        <v>12</v>
      </c>
      <c r="W53" s="160"/>
      <c r="X53" s="161"/>
    </row>
    <row r="54" spans="1:24" x14ac:dyDescent="0.25">
      <c r="B54" s="133"/>
    </row>
  </sheetData>
  <pageMargins left="0.23622047244094491" right="0.23622047244094491" top="0.74803149606299213" bottom="0.74803149606299213" header="0.31496062992125984" footer="0.31496062992125984"/>
  <pageSetup paperSize="8" scale="60" orientation="landscape" verticalDpi="1200" r:id="rId1"/>
  <headerFooter scaleWithDoc="0">
    <oddHeader>&amp;CSlot/Type: &amp;A</oddHeader>
    <oddFooter>&amp;L&amp;F&amp;R&amp;P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9D6C-05E4-4D36-A2E2-7DA4027E416C}">
  <sheetPr>
    <pageSetUpPr fitToPage="1"/>
  </sheetPr>
  <dimension ref="A1:R54"/>
  <sheetViews>
    <sheetView view="pageBreakPreview" topLeftCell="A24" zoomScaleNormal="100" zoomScaleSheetLayoutView="100" workbookViewId="0">
      <selection activeCell="M30" sqref="M30"/>
    </sheetView>
  </sheetViews>
  <sheetFormatPr defaultRowHeight="15" x14ac:dyDescent="0.25"/>
  <cols>
    <col min="1" max="1" width="21.42578125" customWidth="1"/>
    <col min="2" max="2" width="57.140625" style="13" customWidth="1"/>
    <col min="4" max="4" width="9.140625" style="51"/>
    <col min="5" max="5" width="9.140625" style="50"/>
    <col min="7" max="7" width="11.140625" customWidth="1"/>
    <col min="8" max="8" width="14.140625" customWidth="1"/>
    <col min="9" max="9" width="8.5703125" customWidth="1"/>
    <col min="10" max="10" width="17.7109375" customWidth="1"/>
    <col min="11" max="11" width="18.85546875" customWidth="1"/>
    <col min="13" max="13" width="15.7109375" bestFit="1" customWidth="1"/>
    <col min="14" max="14" width="13.28515625" customWidth="1"/>
    <col min="15" max="15" width="14.42578125" customWidth="1"/>
    <col min="16" max="16" width="7.140625" customWidth="1"/>
    <col min="17" max="17" width="8" customWidth="1"/>
    <col min="252" max="252" width="21.42578125" customWidth="1"/>
    <col min="253" max="253" width="57.140625" customWidth="1"/>
    <col min="258" max="258" width="11.140625" customWidth="1"/>
    <col min="259" max="259" width="14.140625" customWidth="1"/>
    <col min="260" max="260" width="14.42578125" customWidth="1"/>
    <col min="261" max="261" width="14.28515625" customWidth="1"/>
    <col min="263" max="268" width="13.28515625" customWidth="1"/>
    <col min="269" max="269" width="14.42578125" customWidth="1"/>
    <col min="270" max="270" width="7.140625" customWidth="1"/>
    <col min="271" max="271" width="8" customWidth="1"/>
    <col min="508" max="508" width="21.42578125" customWidth="1"/>
    <col min="509" max="509" width="57.140625" customWidth="1"/>
    <col min="514" max="514" width="11.140625" customWidth="1"/>
    <col min="515" max="515" width="14.140625" customWidth="1"/>
    <col min="516" max="516" width="14.42578125" customWidth="1"/>
    <col min="517" max="517" width="14.28515625" customWidth="1"/>
    <col min="519" max="524" width="13.28515625" customWidth="1"/>
    <col min="525" max="525" width="14.42578125" customWidth="1"/>
    <col min="526" max="526" width="7.140625" customWidth="1"/>
    <col min="527" max="527" width="8" customWidth="1"/>
    <col min="764" max="764" width="21.42578125" customWidth="1"/>
    <col min="765" max="765" width="57.140625" customWidth="1"/>
    <col min="770" max="770" width="11.140625" customWidth="1"/>
    <col min="771" max="771" width="14.140625" customWidth="1"/>
    <col min="772" max="772" width="14.42578125" customWidth="1"/>
    <col min="773" max="773" width="14.28515625" customWidth="1"/>
    <col min="775" max="780" width="13.28515625" customWidth="1"/>
    <col min="781" max="781" width="14.42578125" customWidth="1"/>
    <col min="782" max="782" width="7.140625" customWidth="1"/>
    <col min="783" max="783" width="8" customWidth="1"/>
    <col min="1020" max="1020" width="21.42578125" customWidth="1"/>
    <col min="1021" max="1021" width="57.140625" customWidth="1"/>
    <col min="1026" max="1026" width="11.140625" customWidth="1"/>
    <col min="1027" max="1027" width="14.140625" customWidth="1"/>
    <col min="1028" max="1028" width="14.42578125" customWidth="1"/>
    <col min="1029" max="1029" width="14.28515625" customWidth="1"/>
    <col min="1031" max="1036" width="13.28515625" customWidth="1"/>
    <col min="1037" max="1037" width="14.42578125" customWidth="1"/>
    <col min="1038" max="1038" width="7.140625" customWidth="1"/>
    <col min="1039" max="1039" width="8" customWidth="1"/>
    <col min="1276" max="1276" width="21.42578125" customWidth="1"/>
    <col min="1277" max="1277" width="57.140625" customWidth="1"/>
    <col min="1282" max="1282" width="11.140625" customWidth="1"/>
    <col min="1283" max="1283" width="14.140625" customWidth="1"/>
    <col min="1284" max="1284" width="14.42578125" customWidth="1"/>
    <col min="1285" max="1285" width="14.28515625" customWidth="1"/>
    <col min="1287" max="1292" width="13.28515625" customWidth="1"/>
    <col min="1293" max="1293" width="14.42578125" customWidth="1"/>
    <col min="1294" max="1294" width="7.140625" customWidth="1"/>
    <col min="1295" max="1295" width="8" customWidth="1"/>
    <col min="1532" max="1532" width="21.42578125" customWidth="1"/>
    <col min="1533" max="1533" width="57.140625" customWidth="1"/>
    <col min="1538" max="1538" width="11.140625" customWidth="1"/>
    <col min="1539" max="1539" width="14.140625" customWidth="1"/>
    <col min="1540" max="1540" width="14.42578125" customWidth="1"/>
    <col min="1541" max="1541" width="14.28515625" customWidth="1"/>
    <col min="1543" max="1548" width="13.28515625" customWidth="1"/>
    <col min="1549" max="1549" width="14.42578125" customWidth="1"/>
    <col min="1550" max="1550" width="7.140625" customWidth="1"/>
    <col min="1551" max="1551" width="8" customWidth="1"/>
    <col min="1788" max="1788" width="21.42578125" customWidth="1"/>
    <col min="1789" max="1789" width="57.140625" customWidth="1"/>
    <col min="1794" max="1794" width="11.140625" customWidth="1"/>
    <col min="1795" max="1795" width="14.140625" customWidth="1"/>
    <col min="1796" max="1796" width="14.42578125" customWidth="1"/>
    <col min="1797" max="1797" width="14.28515625" customWidth="1"/>
    <col min="1799" max="1804" width="13.28515625" customWidth="1"/>
    <col min="1805" max="1805" width="14.42578125" customWidth="1"/>
    <col min="1806" max="1806" width="7.140625" customWidth="1"/>
    <col min="1807" max="1807" width="8" customWidth="1"/>
    <col min="2044" max="2044" width="21.42578125" customWidth="1"/>
    <col min="2045" max="2045" width="57.140625" customWidth="1"/>
    <col min="2050" max="2050" width="11.140625" customWidth="1"/>
    <col min="2051" max="2051" width="14.140625" customWidth="1"/>
    <col min="2052" max="2052" width="14.42578125" customWidth="1"/>
    <col min="2053" max="2053" width="14.28515625" customWidth="1"/>
    <col min="2055" max="2060" width="13.28515625" customWidth="1"/>
    <col min="2061" max="2061" width="14.42578125" customWidth="1"/>
    <col min="2062" max="2062" width="7.140625" customWidth="1"/>
    <col min="2063" max="2063" width="8" customWidth="1"/>
    <col min="2300" max="2300" width="21.42578125" customWidth="1"/>
    <col min="2301" max="2301" width="57.140625" customWidth="1"/>
    <col min="2306" max="2306" width="11.140625" customWidth="1"/>
    <col min="2307" max="2307" width="14.140625" customWidth="1"/>
    <col min="2308" max="2308" width="14.42578125" customWidth="1"/>
    <col min="2309" max="2309" width="14.28515625" customWidth="1"/>
    <col min="2311" max="2316" width="13.28515625" customWidth="1"/>
    <col min="2317" max="2317" width="14.42578125" customWidth="1"/>
    <col min="2318" max="2318" width="7.140625" customWidth="1"/>
    <col min="2319" max="2319" width="8" customWidth="1"/>
    <col min="2556" max="2556" width="21.42578125" customWidth="1"/>
    <col min="2557" max="2557" width="57.140625" customWidth="1"/>
    <col min="2562" max="2562" width="11.140625" customWidth="1"/>
    <col min="2563" max="2563" width="14.140625" customWidth="1"/>
    <col min="2564" max="2564" width="14.42578125" customWidth="1"/>
    <col min="2565" max="2565" width="14.28515625" customWidth="1"/>
    <col min="2567" max="2572" width="13.28515625" customWidth="1"/>
    <col min="2573" max="2573" width="14.42578125" customWidth="1"/>
    <col min="2574" max="2574" width="7.140625" customWidth="1"/>
    <col min="2575" max="2575" width="8" customWidth="1"/>
    <col min="2812" max="2812" width="21.42578125" customWidth="1"/>
    <col min="2813" max="2813" width="57.140625" customWidth="1"/>
    <col min="2818" max="2818" width="11.140625" customWidth="1"/>
    <col min="2819" max="2819" width="14.140625" customWidth="1"/>
    <col min="2820" max="2820" width="14.42578125" customWidth="1"/>
    <col min="2821" max="2821" width="14.28515625" customWidth="1"/>
    <col min="2823" max="2828" width="13.28515625" customWidth="1"/>
    <col min="2829" max="2829" width="14.42578125" customWidth="1"/>
    <col min="2830" max="2830" width="7.140625" customWidth="1"/>
    <col min="2831" max="2831" width="8" customWidth="1"/>
    <col min="3068" max="3068" width="21.42578125" customWidth="1"/>
    <col min="3069" max="3069" width="57.140625" customWidth="1"/>
    <col min="3074" max="3074" width="11.140625" customWidth="1"/>
    <col min="3075" max="3075" width="14.140625" customWidth="1"/>
    <col min="3076" max="3076" width="14.42578125" customWidth="1"/>
    <col min="3077" max="3077" width="14.28515625" customWidth="1"/>
    <col min="3079" max="3084" width="13.28515625" customWidth="1"/>
    <col min="3085" max="3085" width="14.42578125" customWidth="1"/>
    <col min="3086" max="3086" width="7.140625" customWidth="1"/>
    <col min="3087" max="3087" width="8" customWidth="1"/>
    <col min="3324" max="3324" width="21.42578125" customWidth="1"/>
    <col min="3325" max="3325" width="57.140625" customWidth="1"/>
    <col min="3330" max="3330" width="11.140625" customWidth="1"/>
    <col min="3331" max="3331" width="14.140625" customWidth="1"/>
    <col min="3332" max="3332" width="14.42578125" customWidth="1"/>
    <col min="3333" max="3333" width="14.28515625" customWidth="1"/>
    <col min="3335" max="3340" width="13.28515625" customWidth="1"/>
    <col min="3341" max="3341" width="14.42578125" customWidth="1"/>
    <col min="3342" max="3342" width="7.140625" customWidth="1"/>
    <col min="3343" max="3343" width="8" customWidth="1"/>
    <col min="3580" max="3580" width="21.42578125" customWidth="1"/>
    <col min="3581" max="3581" width="57.140625" customWidth="1"/>
    <col min="3586" max="3586" width="11.140625" customWidth="1"/>
    <col min="3587" max="3587" width="14.140625" customWidth="1"/>
    <col min="3588" max="3588" width="14.42578125" customWidth="1"/>
    <col min="3589" max="3589" width="14.28515625" customWidth="1"/>
    <col min="3591" max="3596" width="13.28515625" customWidth="1"/>
    <col min="3597" max="3597" width="14.42578125" customWidth="1"/>
    <col min="3598" max="3598" width="7.140625" customWidth="1"/>
    <col min="3599" max="3599" width="8" customWidth="1"/>
    <col min="3836" max="3836" width="21.42578125" customWidth="1"/>
    <col min="3837" max="3837" width="57.140625" customWidth="1"/>
    <col min="3842" max="3842" width="11.140625" customWidth="1"/>
    <col min="3843" max="3843" width="14.140625" customWidth="1"/>
    <col min="3844" max="3844" width="14.42578125" customWidth="1"/>
    <col min="3845" max="3845" width="14.28515625" customWidth="1"/>
    <col min="3847" max="3852" width="13.28515625" customWidth="1"/>
    <col min="3853" max="3853" width="14.42578125" customWidth="1"/>
    <col min="3854" max="3854" width="7.140625" customWidth="1"/>
    <col min="3855" max="3855" width="8" customWidth="1"/>
    <col min="4092" max="4092" width="21.42578125" customWidth="1"/>
    <col min="4093" max="4093" width="57.140625" customWidth="1"/>
    <col min="4098" max="4098" width="11.140625" customWidth="1"/>
    <col min="4099" max="4099" width="14.140625" customWidth="1"/>
    <col min="4100" max="4100" width="14.42578125" customWidth="1"/>
    <col min="4101" max="4101" width="14.28515625" customWidth="1"/>
    <col min="4103" max="4108" width="13.28515625" customWidth="1"/>
    <col min="4109" max="4109" width="14.42578125" customWidth="1"/>
    <col min="4110" max="4110" width="7.140625" customWidth="1"/>
    <col min="4111" max="4111" width="8" customWidth="1"/>
    <col min="4348" max="4348" width="21.42578125" customWidth="1"/>
    <col min="4349" max="4349" width="57.140625" customWidth="1"/>
    <col min="4354" max="4354" width="11.140625" customWidth="1"/>
    <col min="4355" max="4355" width="14.140625" customWidth="1"/>
    <col min="4356" max="4356" width="14.42578125" customWidth="1"/>
    <col min="4357" max="4357" width="14.28515625" customWidth="1"/>
    <col min="4359" max="4364" width="13.28515625" customWidth="1"/>
    <col min="4365" max="4365" width="14.42578125" customWidth="1"/>
    <col min="4366" max="4366" width="7.140625" customWidth="1"/>
    <col min="4367" max="4367" width="8" customWidth="1"/>
    <col min="4604" max="4604" width="21.42578125" customWidth="1"/>
    <col min="4605" max="4605" width="57.140625" customWidth="1"/>
    <col min="4610" max="4610" width="11.140625" customWidth="1"/>
    <col min="4611" max="4611" width="14.140625" customWidth="1"/>
    <col min="4612" max="4612" width="14.42578125" customWidth="1"/>
    <col min="4613" max="4613" width="14.28515625" customWidth="1"/>
    <col min="4615" max="4620" width="13.28515625" customWidth="1"/>
    <col min="4621" max="4621" width="14.42578125" customWidth="1"/>
    <col min="4622" max="4622" width="7.140625" customWidth="1"/>
    <col min="4623" max="4623" width="8" customWidth="1"/>
    <col min="4860" max="4860" width="21.42578125" customWidth="1"/>
    <col min="4861" max="4861" width="57.140625" customWidth="1"/>
    <col min="4866" max="4866" width="11.140625" customWidth="1"/>
    <col min="4867" max="4867" width="14.140625" customWidth="1"/>
    <col min="4868" max="4868" width="14.42578125" customWidth="1"/>
    <col min="4869" max="4869" width="14.28515625" customWidth="1"/>
    <col min="4871" max="4876" width="13.28515625" customWidth="1"/>
    <col min="4877" max="4877" width="14.42578125" customWidth="1"/>
    <col min="4878" max="4878" width="7.140625" customWidth="1"/>
    <col min="4879" max="4879" width="8" customWidth="1"/>
    <col min="5116" max="5116" width="21.42578125" customWidth="1"/>
    <col min="5117" max="5117" width="57.140625" customWidth="1"/>
    <col min="5122" max="5122" width="11.140625" customWidth="1"/>
    <col min="5123" max="5123" width="14.140625" customWidth="1"/>
    <col min="5124" max="5124" width="14.42578125" customWidth="1"/>
    <col min="5125" max="5125" width="14.28515625" customWidth="1"/>
    <col min="5127" max="5132" width="13.28515625" customWidth="1"/>
    <col min="5133" max="5133" width="14.42578125" customWidth="1"/>
    <col min="5134" max="5134" width="7.140625" customWidth="1"/>
    <col min="5135" max="5135" width="8" customWidth="1"/>
    <col min="5372" max="5372" width="21.42578125" customWidth="1"/>
    <col min="5373" max="5373" width="57.140625" customWidth="1"/>
    <col min="5378" max="5378" width="11.140625" customWidth="1"/>
    <col min="5379" max="5379" width="14.140625" customWidth="1"/>
    <col min="5380" max="5380" width="14.42578125" customWidth="1"/>
    <col min="5381" max="5381" width="14.28515625" customWidth="1"/>
    <col min="5383" max="5388" width="13.28515625" customWidth="1"/>
    <col min="5389" max="5389" width="14.42578125" customWidth="1"/>
    <col min="5390" max="5390" width="7.140625" customWidth="1"/>
    <col min="5391" max="5391" width="8" customWidth="1"/>
    <col min="5628" max="5628" width="21.42578125" customWidth="1"/>
    <col min="5629" max="5629" width="57.140625" customWidth="1"/>
    <col min="5634" max="5634" width="11.140625" customWidth="1"/>
    <col min="5635" max="5635" width="14.140625" customWidth="1"/>
    <col min="5636" max="5636" width="14.42578125" customWidth="1"/>
    <col min="5637" max="5637" width="14.28515625" customWidth="1"/>
    <col min="5639" max="5644" width="13.28515625" customWidth="1"/>
    <col min="5645" max="5645" width="14.42578125" customWidth="1"/>
    <col min="5646" max="5646" width="7.140625" customWidth="1"/>
    <col min="5647" max="5647" width="8" customWidth="1"/>
    <col min="5884" max="5884" width="21.42578125" customWidth="1"/>
    <col min="5885" max="5885" width="57.140625" customWidth="1"/>
    <col min="5890" max="5890" width="11.140625" customWidth="1"/>
    <col min="5891" max="5891" width="14.140625" customWidth="1"/>
    <col min="5892" max="5892" width="14.42578125" customWidth="1"/>
    <col min="5893" max="5893" width="14.28515625" customWidth="1"/>
    <col min="5895" max="5900" width="13.28515625" customWidth="1"/>
    <col min="5901" max="5901" width="14.42578125" customWidth="1"/>
    <col min="5902" max="5902" width="7.140625" customWidth="1"/>
    <col min="5903" max="5903" width="8" customWidth="1"/>
    <col min="6140" max="6140" width="21.42578125" customWidth="1"/>
    <col min="6141" max="6141" width="57.140625" customWidth="1"/>
    <col min="6146" max="6146" width="11.140625" customWidth="1"/>
    <col min="6147" max="6147" width="14.140625" customWidth="1"/>
    <col min="6148" max="6148" width="14.42578125" customWidth="1"/>
    <col min="6149" max="6149" width="14.28515625" customWidth="1"/>
    <col min="6151" max="6156" width="13.28515625" customWidth="1"/>
    <col min="6157" max="6157" width="14.42578125" customWidth="1"/>
    <col min="6158" max="6158" width="7.140625" customWidth="1"/>
    <col min="6159" max="6159" width="8" customWidth="1"/>
    <col min="6396" max="6396" width="21.42578125" customWidth="1"/>
    <col min="6397" max="6397" width="57.140625" customWidth="1"/>
    <col min="6402" max="6402" width="11.140625" customWidth="1"/>
    <col min="6403" max="6403" width="14.140625" customWidth="1"/>
    <col min="6404" max="6404" width="14.42578125" customWidth="1"/>
    <col min="6405" max="6405" width="14.28515625" customWidth="1"/>
    <col min="6407" max="6412" width="13.28515625" customWidth="1"/>
    <col min="6413" max="6413" width="14.42578125" customWidth="1"/>
    <col min="6414" max="6414" width="7.140625" customWidth="1"/>
    <col min="6415" max="6415" width="8" customWidth="1"/>
    <col min="6652" max="6652" width="21.42578125" customWidth="1"/>
    <col min="6653" max="6653" width="57.140625" customWidth="1"/>
    <col min="6658" max="6658" width="11.140625" customWidth="1"/>
    <col min="6659" max="6659" width="14.140625" customWidth="1"/>
    <col min="6660" max="6660" width="14.42578125" customWidth="1"/>
    <col min="6661" max="6661" width="14.28515625" customWidth="1"/>
    <col min="6663" max="6668" width="13.28515625" customWidth="1"/>
    <col min="6669" max="6669" width="14.42578125" customWidth="1"/>
    <col min="6670" max="6670" width="7.140625" customWidth="1"/>
    <col min="6671" max="6671" width="8" customWidth="1"/>
    <col min="6908" max="6908" width="21.42578125" customWidth="1"/>
    <col min="6909" max="6909" width="57.140625" customWidth="1"/>
    <col min="6914" max="6914" width="11.140625" customWidth="1"/>
    <col min="6915" max="6915" width="14.140625" customWidth="1"/>
    <col min="6916" max="6916" width="14.42578125" customWidth="1"/>
    <col min="6917" max="6917" width="14.28515625" customWidth="1"/>
    <col min="6919" max="6924" width="13.28515625" customWidth="1"/>
    <col min="6925" max="6925" width="14.42578125" customWidth="1"/>
    <col min="6926" max="6926" width="7.140625" customWidth="1"/>
    <col min="6927" max="6927" width="8" customWidth="1"/>
    <col min="7164" max="7164" width="21.42578125" customWidth="1"/>
    <col min="7165" max="7165" width="57.140625" customWidth="1"/>
    <col min="7170" max="7170" width="11.140625" customWidth="1"/>
    <col min="7171" max="7171" width="14.140625" customWidth="1"/>
    <col min="7172" max="7172" width="14.42578125" customWidth="1"/>
    <col min="7173" max="7173" width="14.28515625" customWidth="1"/>
    <col min="7175" max="7180" width="13.28515625" customWidth="1"/>
    <col min="7181" max="7181" width="14.42578125" customWidth="1"/>
    <col min="7182" max="7182" width="7.140625" customWidth="1"/>
    <col min="7183" max="7183" width="8" customWidth="1"/>
    <col min="7420" max="7420" width="21.42578125" customWidth="1"/>
    <col min="7421" max="7421" width="57.140625" customWidth="1"/>
    <col min="7426" max="7426" width="11.140625" customWidth="1"/>
    <col min="7427" max="7427" width="14.140625" customWidth="1"/>
    <col min="7428" max="7428" width="14.42578125" customWidth="1"/>
    <col min="7429" max="7429" width="14.28515625" customWidth="1"/>
    <col min="7431" max="7436" width="13.28515625" customWidth="1"/>
    <col min="7437" max="7437" width="14.42578125" customWidth="1"/>
    <col min="7438" max="7438" width="7.140625" customWidth="1"/>
    <col min="7439" max="7439" width="8" customWidth="1"/>
    <col min="7676" max="7676" width="21.42578125" customWidth="1"/>
    <col min="7677" max="7677" width="57.140625" customWidth="1"/>
    <col min="7682" max="7682" width="11.140625" customWidth="1"/>
    <col min="7683" max="7683" width="14.140625" customWidth="1"/>
    <col min="7684" max="7684" width="14.42578125" customWidth="1"/>
    <col min="7685" max="7685" width="14.28515625" customWidth="1"/>
    <col min="7687" max="7692" width="13.28515625" customWidth="1"/>
    <col min="7693" max="7693" width="14.42578125" customWidth="1"/>
    <col min="7694" max="7694" width="7.140625" customWidth="1"/>
    <col min="7695" max="7695" width="8" customWidth="1"/>
    <col min="7932" max="7932" width="21.42578125" customWidth="1"/>
    <col min="7933" max="7933" width="57.140625" customWidth="1"/>
    <col min="7938" max="7938" width="11.140625" customWidth="1"/>
    <col min="7939" max="7939" width="14.140625" customWidth="1"/>
    <col min="7940" max="7940" width="14.42578125" customWidth="1"/>
    <col min="7941" max="7941" width="14.28515625" customWidth="1"/>
    <col min="7943" max="7948" width="13.28515625" customWidth="1"/>
    <col min="7949" max="7949" width="14.42578125" customWidth="1"/>
    <col min="7950" max="7950" width="7.140625" customWidth="1"/>
    <col min="7951" max="7951" width="8" customWidth="1"/>
    <col min="8188" max="8188" width="21.42578125" customWidth="1"/>
    <col min="8189" max="8189" width="57.140625" customWidth="1"/>
    <col min="8194" max="8194" width="11.140625" customWidth="1"/>
    <col min="8195" max="8195" width="14.140625" customWidth="1"/>
    <col min="8196" max="8196" width="14.42578125" customWidth="1"/>
    <col min="8197" max="8197" width="14.28515625" customWidth="1"/>
    <col min="8199" max="8204" width="13.28515625" customWidth="1"/>
    <col min="8205" max="8205" width="14.42578125" customWidth="1"/>
    <col min="8206" max="8206" width="7.140625" customWidth="1"/>
    <col min="8207" max="8207" width="8" customWidth="1"/>
    <col min="8444" max="8444" width="21.42578125" customWidth="1"/>
    <col min="8445" max="8445" width="57.140625" customWidth="1"/>
    <col min="8450" max="8450" width="11.140625" customWidth="1"/>
    <col min="8451" max="8451" width="14.140625" customWidth="1"/>
    <col min="8452" max="8452" width="14.42578125" customWidth="1"/>
    <col min="8453" max="8453" width="14.28515625" customWidth="1"/>
    <col min="8455" max="8460" width="13.28515625" customWidth="1"/>
    <col min="8461" max="8461" width="14.42578125" customWidth="1"/>
    <col min="8462" max="8462" width="7.140625" customWidth="1"/>
    <col min="8463" max="8463" width="8" customWidth="1"/>
    <col min="8700" max="8700" width="21.42578125" customWidth="1"/>
    <col min="8701" max="8701" width="57.140625" customWidth="1"/>
    <col min="8706" max="8706" width="11.140625" customWidth="1"/>
    <col min="8707" max="8707" width="14.140625" customWidth="1"/>
    <col min="8708" max="8708" width="14.42578125" customWidth="1"/>
    <col min="8709" max="8709" width="14.28515625" customWidth="1"/>
    <col min="8711" max="8716" width="13.28515625" customWidth="1"/>
    <col min="8717" max="8717" width="14.42578125" customWidth="1"/>
    <col min="8718" max="8718" width="7.140625" customWidth="1"/>
    <col min="8719" max="8719" width="8" customWidth="1"/>
    <col min="8956" max="8956" width="21.42578125" customWidth="1"/>
    <col min="8957" max="8957" width="57.140625" customWidth="1"/>
    <col min="8962" max="8962" width="11.140625" customWidth="1"/>
    <col min="8963" max="8963" width="14.140625" customWidth="1"/>
    <col min="8964" max="8964" width="14.42578125" customWidth="1"/>
    <col min="8965" max="8965" width="14.28515625" customWidth="1"/>
    <col min="8967" max="8972" width="13.28515625" customWidth="1"/>
    <col min="8973" max="8973" width="14.42578125" customWidth="1"/>
    <col min="8974" max="8974" width="7.140625" customWidth="1"/>
    <col min="8975" max="8975" width="8" customWidth="1"/>
    <col min="9212" max="9212" width="21.42578125" customWidth="1"/>
    <col min="9213" max="9213" width="57.140625" customWidth="1"/>
    <col min="9218" max="9218" width="11.140625" customWidth="1"/>
    <col min="9219" max="9219" width="14.140625" customWidth="1"/>
    <col min="9220" max="9220" width="14.42578125" customWidth="1"/>
    <col min="9221" max="9221" width="14.28515625" customWidth="1"/>
    <col min="9223" max="9228" width="13.28515625" customWidth="1"/>
    <col min="9229" max="9229" width="14.42578125" customWidth="1"/>
    <col min="9230" max="9230" width="7.140625" customWidth="1"/>
    <col min="9231" max="9231" width="8" customWidth="1"/>
    <col min="9468" max="9468" width="21.42578125" customWidth="1"/>
    <col min="9469" max="9469" width="57.140625" customWidth="1"/>
    <col min="9474" max="9474" width="11.140625" customWidth="1"/>
    <col min="9475" max="9475" width="14.140625" customWidth="1"/>
    <col min="9476" max="9476" width="14.42578125" customWidth="1"/>
    <col min="9477" max="9477" width="14.28515625" customWidth="1"/>
    <col min="9479" max="9484" width="13.28515625" customWidth="1"/>
    <col min="9485" max="9485" width="14.42578125" customWidth="1"/>
    <col min="9486" max="9486" width="7.140625" customWidth="1"/>
    <col min="9487" max="9487" width="8" customWidth="1"/>
    <col min="9724" max="9724" width="21.42578125" customWidth="1"/>
    <col min="9725" max="9725" width="57.140625" customWidth="1"/>
    <col min="9730" max="9730" width="11.140625" customWidth="1"/>
    <col min="9731" max="9731" width="14.140625" customWidth="1"/>
    <col min="9732" max="9732" width="14.42578125" customWidth="1"/>
    <col min="9733" max="9733" width="14.28515625" customWidth="1"/>
    <col min="9735" max="9740" width="13.28515625" customWidth="1"/>
    <col min="9741" max="9741" width="14.42578125" customWidth="1"/>
    <col min="9742" max="9742" width="7.140625" customWidth="1"/>
    <col min="9743" max="9743" width="8" customWidth="1"/>
    <col min="9980" max="9980" width="21.42578125" customWidth="1"/>
    <col min="9981" max="9981" width="57.140625" customWidth="1"/>
    <col min="9986" max="9986" width="11.140625" customWidth="1"/>
    <col min="9987" max="9987" width="14.140625" customWidth="1"/>
    <col min="9988" max="9988" width="14.42578125" customWidth="1"/>
    <col min="9989" max="9989" width="14.28515625" customWidth="1"/>
    <col min="9991" max="9996" width="13.28515625" customWidth="1"/>
    <col min="9997" max="9997" width="14.42578125" customWidth="1"/>
    <col min="9998" max="9998" width="7.140625" customWidth="1"/>
    <col min="9999" max="9999" width="8" customWidth="1"/>
    <col min="10236" max="10236" width="21.42578125" customWidth="1"/>
    <col min="10237" max="10237" width="57.140625" customWidth="1"/>
    <col min="10242" max="10242" width="11.140625" customWidth="1"/>
    <col min="10243" max="10243" width="14.140625" customWidth="1"/>
    <col min="10244" max="10244" width="14.42578125" customWidth="1"/>
    <col min="10245" max="10245" width="14.28515625" customWidth="1"/>
    <col min="10247" max="10252" width="13.28515625" customWidth="1"/>
    <col min="10253" max="10253" width="14.42578125" customWidth="1"/>
    <col min="10254" max="10254" width="7.140625" customWidth="1"/>
    <col min="10255" max="10255" width="8" customWidth="1"/>
    <col min="10492" max="10492" width="21.42578125" customWidth="1"/>
    <col min="10493" max="10493" width="57.140625" customWidth="1"/>
    <col min="10498" max="10498" width="11.140625" customWidth="1"/>
    <col min="10499" max="10499" width="14.140625" customWidth="1"/>
    <col min="10500" max="10500" width="14.42578125" customWidth="1"/>
    <col min="10501" max="10501" width="14.28515625" customWidth="1"/>
    <col min="10503" max="10508" width="13.28515625" customWidth="1"/>
    <col min="10509" max="10509" width="14.42578125" customWidth="1"/>
    <col min="10510" max="10510" width="7.140625" customWidth="1"/>
    <col min="10511" max="10511" width="8" customWidth="1"/>
    <col min="10748" max="10748" width="21.42578125" customWidth="1"/>
    <col min="10749" max="10749" width="57.140625" customWidth="1"/>
    <col min="10754" max="10754" width="11.140625" customWidth="1"/>
    <col min="10755" max="10755" width="14.140625" customWidth="1"/>
    <col min="10756" max="10756" width="14.42578125" customWidth="1"/>
    <col min="10757" max="10757" width="14.28515625" customWidth="1"/>
    <col min="10759" max="10764" width="13.28515625" customWidth="1"/>
    <col min="10765" max="10765" width="14.42578125" customWidth="1"/>
    <col min="10766" max="10766" width="7.140625" customWidth="1"/>
    <col min="10767" max="10767" width="8" customWidth="1"/>
    <col min="11004" max="11004" width="21.42578125" customWidth="1"/>
    <col min="11005" max="11005" width="57.140625" customWidth="1"/>
    <col min="11010" max="11010" width="11.140625" customWidth="1"/>
    <col min="11011" max="11011" width="14.140625" customWidth="1"/>
    <col min="11012" max="11012" width="14.42578125" customWidth="1"/>
    <col min="11013" max="11013" width="14.28515625" customWidth="1"/>
    <col min="11015" max="11020" width="13.28515625" customWidth="1"/>
    <col min="11021" max="11021" width="14.42578125" customWidth="1"/>
    <col min="11022" max="11022" width="7.140625" customWidth="1"/>
    <col min="11023" max="11023" width="8" customWidth="1"/>
    <col min="11260" max="11260" width="21.42578125" customWidth="1"/>
    <col min="11261" max="11261" width="57.140625" customWidth="1"/>
    <col min="11266" max="11266" width="11.140625" customWidth="1"/>
    <col min="11267" max="11267" width="14.140625" customWidth="1"/>
    <col min="11268" max="11268" width="14.42578125" customWidth="1"/>
    <col min="11269" max="11269" width="14.28515625" customWidth="1"/>
    <col min="11271" max="11276" width="13.28515625" customWidth="1"/>
    <col min="11277" max="11277" width="14.42578125" customWidth="1"/>
    <col min="11278" max="11278" width="7.140625" customWidth="1"/>
    <col min="11279" max="11279" width="8" customWidth="1"/>
    <col min="11516" max="11516" width="21.42578125" customWidth="1"/>
    <col min="11517" max="11517" width="57.140625" customWidth="1"/>
    <col min="11522" max="11522" width="11.140625" customWidth="1"/>
    <col min="11523" max="11523" width="14.140625" customWidth="1"/>
    <col min="11524" max="11524" width="14.42578125" customWidth="1"/>
    <col min="11525" max="11525" width="14.28515625" customWidth="1"/>
    <col min="11527" max="11532" width="13.28515625" customWidth="1"/>
    <col min="11533" max="11533" width="14.42578125" customWidth="1"/>
    <col min="11534" max="11534" width="7.140625" customWidth="1"/>
    <col min="11535" max="11535" width="8" customWidth="1"/>
    <col min="11772" max="11772" width="21.42578125" customWidth="1"/>
    <col min="11773" max="11773" width="57.140625" customWidth="1"/>
    <col min="11778" max="11778" width="11.140625" customWidth="1"/>
    <col min="11779" max="11779" width="14.140625" customWidth="1"/>
    <col min="11780" max="11780" width="14.42578125" customWidth="1"/>
    <col min="11781" max="11781" width="14.28515625" customWidth="1"/>
    <col min="11783" max="11788" width="13.28515625" customWidth="1"/>
    <col min="11789" max="11789" width="14.42578125" customWidth="1"/>
    <col min="11790" max="11790" width="7.140625" customWidth="1"/>
    <col min="11791" max="11791" width="8" customWidth="1"/>
    <col min="12028" max="12028" width="21.42578125" customWidth="1"/>
    <col min="12029" max="12029" width="57.140625" customWidth="1"/>
    <col min="12034" max="12034" width="11.140625" customWidth="1"/>
    <col min="12035" max="12035" width="14.140625" customWidth="1"/>
    <col min="12036" max="12036" width="14.42578125" customWidth="1"/>
    <col min="12037" max="12037" width="14.28515625" customWidth="1"/>
    <col min="12039" max="12044" width="13.28515625" customWidth="1"/>
    <col min="12045" max="12045" width="14.42578125" customWidth="1"/>
    <col min="12046" max="12046" width="7.140625" customWidth="1"/>
    <col min="12047" max="12047" width="8" customWidth="1"/>
    <col min="12284" max="12284" width="21.42578125" customWidth="1"/>
    <col min="12285" max="12285" width="57.140625" customWidth="1"/>
    <col min="12290" max="12290" width="11.140625" customWidth="1"/>
    <col min="12291" max="12291" width="14.140625" customWidth="1"/>
    <col min="12292" max="12292" width="14.42578125" customWidth="1"/>
    <col min="12293" max="12293" width="14.28515625" customWidth="1"/>
    <col min="12295" max="12300" width="13.28515625" customWidth="1"/>
    <col min="12301" max="12301" width="14.42578125" customWidth="1"/>
    <col min="12302" max="12302" width="7.140625" customWidth="1"/>
    <col min="12303" max="12303" width="8" customWidth="1"/>
    <col min="12540" max="12540" width="21.42578125" customWidth="1"/>
    <col min="12541" max="12541" width="57.140625" customWidth="1"/>
    <col min="12546" max="12546" width="11.140625" customWidth="1"/>
    <col min="12547" max="12547" width="14.140625" customWidth="1"/>
    <col min="12548" max="12548" width="14.42578125" customWidth="1"/>
    <col min="12549" max="12549" width="14.28515625" customWidth="1"/>
    <col min="12551" max="12556" width="13.28515625" customWidth="1"/>
    <col min="12557" max="12557" width="14.42578125" customWidth="1"/>
    <col min="12558" max="12558" width="7.140625" customWidth="1"/>
    <col min="12559" max="12559" width="8" customWidth="1"/>
    <col min="12796" max="12796" width="21.42578125" customWidth="1"/>
    <col min="12797" max="12797" width="57.140625" customWidth="1"/>
    <col min="12802" max="12802" width="11.140625" customWidth="1"/>
    <col min="12803" max="12803" width="14.140625" customWidth="1"/>
    <col min="12804" max="12804" width="14.42578125" customWidth="1"/>
    <col min="12805" max="12805" width="14.28515625" customWidth="1"/>
    <col min="12807" max="12812" width="13.28515625" customWidth="1"/>
    <col min="12813" max="12813" width="14.42578125" customWidth="1"/>
    <col min="12814" max="12814" width="7.140625" customWidth="1"/>
    <col min="12815" max="12815" width="8" customWidth="1"/>
    <col min="13052" max="13052" width="21.42578125" customWidth="1"/>
    <col min="13053" max="13053" width="57.140625" customWidth="1"/>
    <col min="13058" max="13058" width="11.140625" customWidth="1"/>
    <col min="13059" max="13059" width="14.140625" customWidth="1"/>
    <col min="13060" max="13060" width="14.42578125" customWidth="1"/>
    <col min="13061" max="13061" width="14.28515625" customWidth="1"/>
    <col min="13063" max="13068" width="13.28515625" customWidth="1"/>
    <col min="13069" max="13069" width="14.42578125" customWidth="1"/>
    <col min="13070" max="13070" width="7.140625" customWidth="1"/>
    <col min="13071" max="13071" width="8" customWidth="1"/>
    <col min="13308" max="13308" width="21.42578125" customWidth="1"/>
    <col min="13309" max="13309" width="57.140625" customWidth="1"/>
    <col min="13314" max="13314" width="11.140625" customWidth="1"/>
    <col min="13315" max="13315" width="14.140625" customWidth="1"/>
    <col min="13316" max="13316" width="14.42578125" customWidth="1"/>
    <col min="13317" max="13317" width="14.28515625" customWidth="1"/>
    <col min="13319" max="13324" width="13.28515625" customWidth="1"/>
    <col min="13325" max="13325" width="14.42578125" customWidth="1"/>
    <col min="13326" max="13326" width="7.140625" customWidth="1"/>
    <col min="13327" max="13327" width="8" customWidth="1"/>
    <col min="13564" max="13564" width="21.42578125" customWidth="1"/>
    <col min="13565" max="13565" width="57.140625" customWidth="1"/>
    <col min="13570" max="13570" width="11.140625" customWidth="1"/>
    <col min="13571" max="13571" width="14.140625" customWidth="1"/>
    <col min="13572" max="13572" width="14.42578125" customWidth="1"/>
    <col min="13573" max="13573" width="14.28515625" customWidth="1"/>
    <col min="13575" max="13580" width="13.28515625" customWidth="1"/>
    <col min="13581" max="13581" width="14.42578125" customWidth="1"/>
    <col min="13582" max="13582" width="7.140625" customWidth="1"/>
    <col min="13583" max="13583" width="8" customWidth="1"/>
    <col min="13820" max="13820" width="21.42578125" customWidth="1"/>
    <col min="13821" max="13821" width="57.140625" customWidth="1"/>
    <col min="13826" max="13826" width="11.140625" customWidth="1"/>
    <col min="13827" max="13827" width="14.140625" customWidth="1"/>
    <col min="13828" max="13828" width="14.42578125" customWidth="1"/>
    <col min="13829" max="13829" width="14.28515625" customWidth="1"/>
    <col min="13831" max="13836" width="13.28515625" customWidth="1"/>
    <col min="13837" max="13837" width="14.42578125" customWidth="1"/>
    <col min="13838" max="13838" width="7.140625" customWidth="1"/>
    <col min="13839" max="13839" width="8" customWidth="1"/>
    <col min="14076" max="14076" width="21.42578125" customWidth="1"/>
    <col min="14077" max="14077" width="57.140625" customWidth="1"/>
    <col min="14082" max="14082" width="11.140625" customWidth="1"/>
    <col min="14083" max="14083" width="14.140625" customWidth="1"/>
    <col min="14084" max="14084" width="14.42578125" customWidth="1"/>
    <col min="14085" max="14085" width="14.28515625" customWidth="1"/>
    <col min="14087" max="14092" width="13.28515625" customWidth="1"/>
    <col min="14093" max="14093" width="14.42578125" customWidth="1"/>
    <col min="14094" max="14094" width="7.140625" customWidth="1"/>
    <col min="14095" max="14095" width="8" customWidth="1"/>
    <col min="14332" max="14332" width="21.42578125" customWidth="1"/>
    <col min="14333" max="14333" width="57.140625" customWidth="1"/>
    <col min="14338" max="14338" width="11.140625" customWidth="1"/>
    <col min="14339" max="14339" width="14.140625" customWidth="1"/>
    <col min="14340" max="14340" width="14.42578125" customWidth="1"/>
    <col min="14341" max="14341" width="14.28515625" customWidth="1"/>
    <col min="14343" max="14348" width="13.28515625" customWidth="1"/>
    <col min="14349" max="14349" width="14.42578125" customWidth="1"/>
    <col min="14350" max="14350" width="7.140625" customWidth="1"/>
    <col min="14351" max="14351" width="8" customWidth="1"/>
    <col min="14588" max="14588" width="21.42578125" customWidth="1"/>
    <col min="14589" max="14589" width="57.140625" customWidth="1"/>
    <col min="14594" max="14594" width="11.140625" customWidth="1"/>
    <col min="14595" max="14595" width="14.140625" customWidth="1"/>
    <col min="14596" max="14596" width="14.42578125" customWidth="1"/>
    <col min="14597" max="14597" width="14.28515625" customWidth="1"/>
    <col min="14599" max="14604" width="13.28515625" customWidth="1"/>
    <col min="14605" max="14605" width="14.42578125" customWidth="1"/>
    <col min="14606" max="14606" width="7.140625" customWidth="1"/>
    <col min="14607" max="14607" width="8" customWidth="1"/>
    <col min="14844" max="14844" width="21.42578125" customWidth="1"/>
    <col min="14845" max="14845" width="57.140625" customWidth="1"/>
    <col min="14850" max="14850" width="11.140625" customWidth="1"/>
    <col min="14851" max="14851" width="14.140625" customWidth="1"/>
    <col min="14852" max="14852" width="14.42578125" customWidth="1"/>
    <col min="14853" max="14853" width="14.28515625" customWidth="1"/>
    <col min="14855" max="14860" width="13.28515625" customWidth="1"/>
    <col min="14861" max="14861" width="14.42578125" customWidth="1"/>
    <col min="14862" max="14862" width="7.140625" customWidth="1"/>
    <col min="14863" max="14863" width="8" customWidth="1"/>
    <col min="15100" max="15100" width="21.42578125" customWidth="1"/>
    <col min="15101" max="15101" width="57.140625" customWidth="1"/>
    <col min="15106" max="15106" width="11.140625" customWidth="1"/>
    <col min="15107" max="15107" width="14.140625" customWidth="1"/>
    <col min="15108" max="15108" width="14.42578125" customWidth="1"/>
    <col min="15109" max="15109" width="14.28515625" customWidth="1"/>
    <col min="15111" max="15116" width="13.28515625" customWidth="1"/>
    <col min="15117" max="15117" width="14.42578125" customWidth="1"/>
    <col min="15118" max="15118" width="7.140625" customWidth="1"/>
    <col min="15119" max="15119" width="8" customWidth="1"/>
    <col min="15356" max="15356" width="21.42578125" customWidth="1"/>
    <col min="15357" max="15357" width="57.140625" customWidth="1"/>
    <col min="15362" max="15362" width="11.140625" customWidth="1"/>
    <col min="15363" max="15363" width="14.140625" customWidth="1"/>
    <col min="15364" max="15364" width="14.42578125" customWidth="1"/>
    <col min="15365" max="15365" width="14.28515625" customWidth="1"/>
    <col min="15367" max="15372" width="13.28515625" customWidth="1"/>
    <col min="15373" max="15373" width="14.42578125" customWidth="1"/>
    <col min="15374" max="15374" width="7.140625" customWidth="1"/>
    <col min="15375" max="15375" width="8" customWidth="1"/>
    <col min="15612" max="15612" width="21.42578125" customWidth="1"/>
    <col min="15613" max="15613" width="57.140625" customWidth="1"/>
    <col min="15618" max="15618" width="11.140625" customWidth="1"/>
    <col min="15619" max="15619" width="14.140625" customWidth="1"/>
    <col min="15620" max="15620" width="14.42578125" customWidth="1"/>
    <col min="15621" max="15621" width="14.28515625" customWidth="1"/>
    <col min="15623" max="15628" width="13.28515625" customWidth="1"/>
    <col min="15629" max="15629" width="14.42578125" customWidth="1"/>
    <col min="15630" max="15630" width="7.140625" customWidth="1"/>
    <col min="15631" max="15631" width="8" customWidth="1"/>
    <col min="15868" max="15868" width="21.42578125" customWidth="1"/>
    <col min="15869" max="15869" width="57.140625" customWidth="1"/>
    <col min="15874" max="15874" width="11.140625" customWidth="1"/>
    <col min="15875" max="15875" width="14.140625" customWidth="1"/>
    <col min="15876" max="15876" width="14.42578125" customWidth="1"/>
    <col min="15877" max="15877" width="14.28515625" customWidth="1"/>
    <col min="15879" max="15884" width="13.28515625" customWidth="1"/>
    <col min="15885" max="15885" width="14.42578125" customWidth="1"/>
    <col min="15886" max="15886" width="7.140625" customWidth="1"/>
    <col min="15887" max="15887" width="8" customWidth="1"/>
    <col min="16124" max="16124" width="21.42578125" customWidth="1"/>
    <col min="16125" max="16125" width="57.140625" customWidth="1"/>
    <col min="16130" max="16130" width="11.140625" customWidth="1"/>
    <col min="16131" max="16131" width="14.140625" customWidth="1"/>
    <col min="16132" max="16132" width="14.42578125" customWidth="1"/>
    <col min="16133" max="16133" width="14.28515625" customWidth="1"/>
    <col min="16135" max="16140" width="13.28515625" customWidth="1"/>
    <col min="16141" max="16141" width="14.42578125" customWidth="1"/>
    <col min="16142" max="16142" width="7.140625" customWidth="1"/>
    <col min="16143" max="16143" width="8" customWidth="1"/>
  </cols>
  <sheetData>
    <row r="1" spans="1:18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131" t="s">
        <v>29</v>
      </c>
      <c r="H1" s="131" t="s">
        <v>478</v>
      </c>
      <c r="I1" s="64" t="s">
        <v>388</v>
      </c>
      <c r="J1" s="131" t="s">
        <v>44</v>
      </c>
      <c r="K1" s="131" t="s">
        <v>45</v>
      </c>
      <c r="L1" s="131" t="s">
        <v>46</v>
      </c>
      <c r="M1" s="131" t="s">
        <v>386</v>
      </c>
      <c r="N1" s="131" t="s">
        <v>47</v>
      </c>
      <c r="O1" s="131" t="s">
        <v>48</v>
      </c>
      <c r="P1" s="131" t="s">
        <v>49</v>
      </c>
      <c r="Q1" s="131" t="s">
        <v>479</v>
      </c>
      <c r="R1" s="131" t="s">
        <v>50</v>
      </c>
    </row>
    <row r="2" spans="1:18" ht="18" customHeight="1" x14ac:dyDescent="0.25">
      <c r="A2" s="167" t="s">
        <v>284</v>
      </c>
      <c r="B2" s="86" t="s">
        <v>285</v>
      </c>
      <c r="C2" s="87" t="s">
        <v>83</v>
      </c>
      <c r="D2" s="134" t="str" cm="1">
        <f t="array" aca="1" ref="D2" ca="1">_xlfn.LET(_xlpm.filepath,CELL("filename",D2),MID(_xlpm.filepath,FIND("]",_xlpm.filepath)+1,3))</f>
        <v>014</v>
      </c>
      <c r="E2" s="135" t="s">
        <v>84</v>
      </c>
      <c r="F2" s="89" t="str">
        <f>"DO"&amp;E2&amp;"+"</f>
        <v>DO1+</v>
      </c>
      <c r="G2" s="87" t="s">
        <v>232</v>
      </c>
      <c r="H2" s="87" t="s">
        <v>233</v>
      </c>
      <c r="I2" s="65" t="s">
        <v>391</v>
      </c>
      <c r="J2" s="136" t="s">
        <v>56</v>
      </c>
      <c r="K2" s="136" t="s">
        <v>223</v>
      </c>
      <c r="L2" s="89" t="s">
        <v>378</v>
      </c>
      <c r="M2" s="89" t="s">
        <v>439</v>
      </c>
      <c r="N2" s="89" t="str">
        <f ca="1">D2&amp;"/"&amp;F2</f>
        <v>014/DO1+</v>
      </c>
      <c r="O2" s="89" t="s">
        <v>519</v>
      </c>
      <c r="P2" s="78">
        <v>3</v>
      </c>
      <c r="Q2" s="90" t="s">
        <v>475</v>
      </c>
      <c r="R2" s="69">
        <v>0</v>
      </c>
    </row>
    <row r="3" spans="1:18" ht="18" customHeight="1" thickBot="1" x14ac:dyDescent="0.3">
      <c r="A3" s="168"/>
      <c r="B3" s="138"/>
      <c r="C3" s="139"/>
      <c r="D3" s="140"/>
      <c r="E3" s="141"/>
      <c r="F3" s="117" t="str">
        <f>"DO"&amp;E2&amp;"-"</f>
        <v>DO1-</v>
      </c>
      <c r="G3" s="139"/>
      <c r="H3" s="139"/>
      <c r="I3" s="55" t="s">
        <v>392</v>
      </c>
      <c r="J3" s="139"/>
      <c r="K3" s="139"/>
      <c r="L3" s="117" t="s">
        <v>376</v>
      </c>
      <c r="M3" s="117" t="s">
        <v>439</v>
      </c>
      <c r="N3" s="117" t="str">
        <f ca="1">D2&amp;"/"&amp;F3</f>
        <v>014/DO1-</v>
      </c>
      <c r="O3" s="243" t="s">
        <v>519</v>
      </c>
      <c r="P3" s="239">
        <v>4</v>
      </c>
      <c r="Q3" s="142"/>
      <c r="R3" s="57"/>
    </row>
    <row r="4" spans="1:18" ht="18" customHeight="1" thickTop="1" x14ac:dyDescent="0.25">
      <c r="A4" s="169" t="s">
        <v>286</v>
      </c>
      <c r="B4" s="101" t="s">
        <v>287</v>
      </c>
      <c r="C4" s="102" t="s">
        <v>83</v>
      </c>
      <c r="D4" s="143" t="str" cm="1">
        <f t="array" aca="1" ref="D4" ca="1">_xlfn.LET(_xlpm.filepath,CELL("filename",D4),MID(_xlpm.filepath,FIND("]",_xlpm.filepath)+1,3))</f>
        <v>014</v>
      </c>
      <c r="E4" s="144" t="s">
        <v>90</v>
      </c>
      <c r="F4" s="104" t="str">
        <f>"DO"&amp;E4&amp;"+"</f>
        <v>DO2+</v>
      </c>
      <c r="G4" s="102" t="s">
        <v>232</v>
      </c>
      <c r="H4" s="102" t="s">
        <v>233</v>
      </c>
      <c r="I4" s="58" t="s">
        <v>393</v>
      </c>
      <c r="J4" s="102" t="s">
        <v>56</v>
      </c>
      <c r="K4" s="102" t="s">
        <v>225</v>
      </c>
      <c r="L4" s="104" t="s">
        <v>378</v>
      </c>
      <c r="M4" s="104" t="s">
        <v>439</v>
      </c>
      <c r="N4" s="104" t="str">
        <f ca="1">D4&amp;"/"&amp;F4</f>
        <v>014/DO2+</v>
      </c>
      <c r="O4" s="242" t="s">
        <v>519</v>
      </c>
      <c r="P4" s="237">
        <v>7</v>
      </c>
      <c r="Q4" s="103" t="s">
        <v>475</v>
      </c>
      <c r="R4" s="317" t="s">
        <v>91</v>
      </c>
    </row>
    <row r="5" spans="1:18" ht="18" customHeight="1" thickBot="1" x14ac:dyDescent="0.3">
      <c r="A5" s="170"/>
      <c r="B5" s="126"/>
      <c r="C5" s="127"/>
      <c r="D5" s="145"/>
      <c r="E5" s="146"/>
      <c r="F5" s="147" t="str">
        <f>"DO"&amp;E4&amp;"-"</f>
        <v>DO2-</v>
      </c>
      <c r="G5" s="127"/>
      <c r="H5" s="127"/>
      <c r="I5" s="59" t="s">
        <v>394</v>
      </c>
      <c r="J5" s="129"/>
      <c r="K5" s="127"/>
      <c r="L5" s="147" t="s">
        <v>376</v>
      </c>
      <c r="M5" s="147" t="s">
        <v>439</v>
      </c>
      <c r="N5" s="147" t="str">
        <f ca="1">D4&amp;"/"&amp;F5</f>
        <v>014/DO2-</v>
      </c>
      <c r="O5" s="241" t="s">
        <v>519</v>
      </c>
      <c r="P5" s="240">
        <v>8</v>
      </c>
      <c r="Q5" s="128"/>
      <c r="R5" s="130"/>
    </row>
    <row r="6" spans="1:18" ht="18" customHeight="1" thickTop="1" x14ac:dyDescent="0.25">
      <c r="A6" s="171" t="s">
        <v>288</v>
      </c>
      <c r="B6" s="120" t="s">
        <v>289</v>
      </c>
      <c r="C6" s="121" t="s">
        <v>83</v>
      </c>
      <c r="D6" s="148" t="str" cm="1">
        <f t="array" aca="1" ref="D6" ca="1">_xlfn.LET(_xlpm.filepath,CELL("filename",D6),MID(_xlpm.filepath,FIND("]",_xlpm.filepath)+1,3))</f>
        <v>014</v>
      </c>
      <c r="E6" s="149" t="s">
        <v>237</v>
      </c>
      <c r="F6" s="123" t="str">
        <f>"DO"&amp;E6&amp;"+"</f>
        <v>DO3+</v>
      </c>
      <c r="G6" s="121" t="s">
        <v>232</v>
      </c>
      <c r="H6" s="121" t="s">
        <v>233</v>
      </c>
      <c r="I6" s="53" t="s">
        <v>395</v>
      </c>
      <c r="J6" s="121" t="s">
        <v>56</v>
      </c>
      <c r="K6" s="121" t="s">
        <v>227</v>
      </c>
      <c r="L6" s="123" t="s">
        <v>378</v>
      </c>
      <c r="M6" s="123" t="s">
        <v>439</v>
      </c>
      <c r="N6" s="123" t="str">
        <f ca="1">D6&amp;"/"&amp;F6</f>
        <v>014/DO3+</v>
      </c>
      <c r="O6" s="217" t="s">
        <v>519</v>
      </c>
      <c r="P6" s="238">
        <v>11</v>
      </c>
      <c r="Q6" s="124" t="s">
        <v>475</v>
      </c>
      <c r="R6" s="150">
        <v>0</v>
      </c>
    </row>
    <row r="7" spans="1:18" ht="18" customHeight="1" thickBot="1" x14ac:dyDescent="0.3">
      <c r="A7" s="168"/>
      <c r="B7" s="138"/>
      <c r="C7" s="139"/>
      <c r="D7" s="140"/>
      <c r="E7" s="141"/>
      <c r="F7" s="117" t="str">
        <f>"DO"&amp;E6&amp;"-"</f>
        <v>DO3-</v>
      </c>
      <c r="G7" s="139"/>
      <c r="H7" s="139"/>
      <c r="I7" s="55" t="s">
        <v>396</v>
      </c>
      <c r="J7" s="139"/>
      <c r="K7" s="139"/>
      <c r="L7" s="117" t="s">
        <v>376</v>
      </c>
      <c r="M7" s="117" t="s">
        <v>439</v>
      </c>
      <c r="N7" s="117" t="str">
        <f ca="1">D6&amp;"/"&amp;F7</f>
        <v>014/DO3-</v>
      </c>
      <c r="O7" s="243" t="s">
        <v>519</v>
      </c>
      <c r="P7" s="239">
        <v>12</v>
      </c>
      <c r="Q7" s="142"/>
      <c r="R7" s="151"/>
    </row>
    <row r="8" spans="1:18" ht="18" customHeight="1" thickTop="1" x14ac:dyDescent="0.25">
      <c r="A8" s="169" t="s">
        <v>290</v>
      </c>
      <c r="B8" s="101" t="s">
        <v>291</v>
      </c>
      <c r="C8" s="102" t="s">
        <v>83</v>
      </c>
      <c r="D8" s="143" t="str" cm="1">
        <f t="array" aca="1" ref="D8" ca="1">_xlfn.LET(_xlpm.filepath,CELL("filename",D8),MID(_xlpm.filepath,FIND("]",_xlpm.filepath)+1,3))</f>
        <v>014</v>
      </c>
      <c r="E8" s="144" t="s">
        <v>96</v>
      </c>
      <c r="F8" s="104" t="str">
        <f>"DO"&amp;E8&amp;"+"</f>
        <v>DO4+</v>
      </c>
      <c r="G8" s="102" t="s">
        <v>232</v>
      </c>
      <c r="H8" s="102" t="s">
        <v>233</v>
      </c>
      <c r="I8" s="58" t="s">
        <v>397</v>
      </c>
      <c r="J8" s="102" t="s">
        <v>56</v>
      </c>
      <c r="K8" s="102" t="s">
        <v>229</v>
      </c>
      <c r="L8" s="104" t="s">
        <v>378</v>
      </c>
      <c r="M8" s="104" t="s">
        <v>439</v>
      </c>
      <c r="N8" s="104" t="str">
        <f ca="1">D8&amp;"/"&amp;F8</f>
        <v>014/DO4+</v>
      </c>
      <c r="O8" s="242" t="s">
        <v>519</v>
      </c>
      <c r="P8" s="237">
        <v>15</v>
      </c>
      <c r="Q8" s="103" t="s">
        <v>475</v>
      </c>
      <c r="R8" s="317" t="s">
        <v>91</v>
      </c>
    </row>
    <row r="9" spans="1:18" ht="18" customHeight="1" x14ac:dyDescent="0.25">
      <c r="A9" s="170"/>
      <c r="B9" s="126"/>
      <c r="C9" s="127"/>
      <c r="D9" s="145"/>
      <c r="E9" s="146"/>
      <c r="F9" s="147" t="str">
        <f>"DO"&amp;E8&amp;"-"</f>
        <v>DO4-</v>
      </c>
      <c r="G9" s="127"/>
      <c r="H9" s="127"/>
      <c r="I9" s="59" t="s">
        <v>398</v>
      </c>
      <c r="J9" s="129"/>
      <c r="K9" s="127"/>
      <c r="L9" s="147" t="s">
        <v>376</v>
      </c>
      <c r="M9" s="147" t="s">
        <v>439</v>
      </c>
      <c r="N9" s="147" t="str">
        <f ca="1">D8&amp;"/"&amp;F9</f>
        <v>014/DO4-</v>
      </c>
      <c r="O9" s="147" t="s">
        <v>519</v>
      </c>
      <c r="P9" s="75">
        <v>16</v>
      </c>
      <c r="Q9" s="128"/>
      <c r="R9" s="130"/>
    </row>
    <row r="10" spans="1:18" ht="18" customHeight="1" x14ac:dyDescent="0.25">
      <c r="A10" s="171" t="s">
        <v>299</v>
      </c>
      <c r="B10" s="120" t="s">
        <v>551</v>
      </c>
      <c r="C10" s="121" t="s">
        <v>83</v>
      </c>
      <c r="D10" s="148" t="str" cm="1">
        <f t="array" aca="1" ref="D10" ca="1">_xlfn.LET(_xlpm.filepath,CELL("filename",D10),MID(_xlpm.filepath,FIND("]",_xlpm.filepath)+1,3))</f>
        <v>014</v>
      </c>
      <c r="E10" s="149" t="s">
        <v>242</v>
      </c>
      <c r="F10" s="123" t="str">
        <f>"DO"&amp;E10&amp;"+"</f>
        <v>DO5+</v>
      </c>
      <c r="G10" s="121" t="s">
        <v>232</v>
      </c>
      <c r="H10" s="121" t="s">
        <v>233</v>
      </c>
      <c r="I10" s="53" t="s">
        <v>399</v>
      </c>
      <c r="J10" s="121" t="s">
        <v>56</v>
      </c>
      <c r="K10" s="121" t="s">
        <v>300</v>
      </c>
      <c r="L10" s="123" t="s">
        <v>378</v>
      </c>
      <c r="M10" s="123" t="s">
        <v>439</v>
      </c>
      <c r="N10" s="123" t="str">
        <f ca="1">D10&amp;"/"&amp;F10</f>
        <v>014/DO5+</v>
      </c>
      <c r="O10" s="123" t="s">
        <v>549</v>
      </c>
      <c r="P10" s="60">
        <v>1</v>
      </c>
      <c r="Q10" s="124" t="s">
        <v>475</v>
      </c>
      <c r="R10" s="150">
        <v>0</v>
      </c>
    </row>
    <row r="11" spans="1:18" ht="18" customHeight="1" x14ac:dyDescent="0.25">
      <c r="A11" s="168"/>
      <c r="B11" s="138"/>
      <c r="C11" s="139"/>
      <c r="D11" s="140"/>
      <c r="E11" s="141"/>
      <c r="F11" s="117" t="str">
        <f>"DO"&amp;E10&amp;"-"</f>
        <v>DO5-</v>
      </c>
      <c r="G11" s="139"/>
      <c r="H11" s="139"/>
      <c r="I11" s="55" t="s">
        <v>400</v>
      </c>
      <c r="J11" s="139"/>
      <c r="K11" s="139"/>
      <c r="L11" s="117" t="s">
        <v>376</v>
      </c>
      <c r="M11" s="117" t="s">
        <v>439</v>
      </c>
      <c r="N11" s="117" t="str">
        <f ca="1">D10&amp;"/"&amp;F11</f>
        <v>014/DO5-</v>
      </c>
      <c r="O11" s="117" t="s">
        <v>549</v>
      </c>
      <c r="P11" s="73">
        <v>2</v>
      </c>
      <c r="Q11" s="142"/>
      <c r="R11" s="151"/>
    </row>
    <row r="12" spans="1:18" ht="18" customHeight="1" x14ac:dyDescent="0.25">
      <c r="A12" s="169" t="s">
        <v>301</v>
      </c>
      <c r="B12" s="101" t="s">
        <v>550</v>
      </c>
      <c r="C12" s="102" t="s">
        <v>83</v>
      </c>
      <c r="D12" s="143" t="str" cm="1">
        <f t="array" aca="1" ref="D12" ca="1">_xlfn.LET(_xlpm.filepath,CELL("filename",D12),MID(_xlpm.filepath,FIND("]",_xlpm.filepath)+1,3))</f>
        <v>014</v>
      </c>
      <c r="E12" s="144" t="s">
        <v>101</v>
      </c>
      <c r="F12" s="104" t="str">
        <f>"DO"&amp;E12&amp;"+"</f>
        <v>DO6+</v>
      </c>
      <c r="G12" s="102" t="s">
        <v>232</v>
      </c>
      <c r="H12" s="102" t="s">
        <v>233</v>
      </c>
      <c r="I12" s="58" t="s">
        <v>401</v>
      </c>
      <c r="J12" s="102" t="s">
        <v>56</v>
      </c>
      <c r="K12" s="102" t="s">
        <v>300</v>
      </c>
      <c r="L12" s="104" t="s">
        <v>378</v>
      </c>
      <c r="M12" s="104" t="s">
        <v>439</v>
      </c>
      <c r="N12" s="104" t="str">
        <f ca="1">D12&amp;"/"&amp;F12</f>
        <v>014/DO6+</v>
      </c>
      <c r="O12" s="104" t="s">
        <v>549</v>
      </c>
      <c r="P12" s="74">
        <v>3</v>
      </c>
      <c r="Q12" s="103" t="s">
        <v>475</v>
      </c>
      <c r="R12" s="317" t="s">
        <v>91</v>
      </c>
    </row>
    <row r="13" spans="1:18" ht="18" customHeight="1" x14ac:dyDescent="0.25">
      <c r="A13" s="170"/>
      <c r="B13" s="126"/>
      <c r="C13" s="127"/>
      <c r="D13" s="145"/>
      <c r="E13" s="146"/>
      <c r="F13" s="147" t="str">
        <f>"DO"&amp;E12&amp;"-"</f>
        <v>DO6-</v>
      </c>
      <c r="G13" s="127"/>
      <c r="H13" s="127"/>
      <c r="I13" s="59" t="s">
        <v>402</v>
      </c>
      <c r="J13" s="129"/>
      <c r="K13" s="127"/>
      <c r="L13" s="147" t="s">
        <v>376</v>
      </c>
      <c r="M13" s="147" t="s">
        <v>439</v>
      </c>
      <c r="N13" s="147" t="str">
        <f ca="1">D12&amp;"/"&amp;F13</f>
        <v>014/DO6-</v>
      </c>
      <c r="O13" s="147" t="s">
        <v>549</v>
      </c>
      <c r="P13" s="75">
        <v>4</v>
      </c>
      <c r="Q13" s="128"/>
      <c r="R13" s="130"/>
    </row>
    <row r="14" spans="1:18" ht="18" customHeight="1" x14ac:dyDescent="0.25">
      <c r="A14" s="171" t="s">
        <v>302</v>
      </c>
      <c r="B14" s="120" t="s">
        <v>303</v>
      </c>
      <c r="C14" s="121" t="s">
        <v>83</v>
      </c>
      <c r="D14" s="148" t="str" cm="1">
        <f t="array" aca="1" ref="D14" ca="1">_xlfn.LET(_xlpm.filepath,CELL("filename",D14),MID(_xlpm.filepath,FIND("]",_xlpm.filepath)+1,3))</f>
        <v>014</v>
      </c>
      <c r="E14" s="149" t="s">
        <v>246</v>
      </c>
      <c r="F14" s="123" t="str">
        <f>"DO"&amp;E14&amp;"+"</f>
        <v>DO7+</v>
      </c>
      <c r="G14" s="121" t="s">
        <v>232</v>
      </c>
      <c r="H14" s="121" t="s">
        <v>233</v>
      </c>
      <c r="I14" s="53" t="s">
        <v>403</v>
      </c>
      <c r="J14" s="121" t="s">
        <v>56</v>
      </c>
      <c r="K14" s="121" t="s">
        <v>300</v>
      </c>
      <c r="L14" s="123" t="s">
        <v>378</v>
      </c>
      <c r="M14" s="123" t="s">
        <v>439</v>
      </c>
      <c r="N14" s="123" t="str">
        <f ca="1">D14&amp;"/"&amp;F14</f>
        <v>014/DO7+</v>
      </c>
      <c r="O14" s="123" t="s">
        <v>549</v>
      </c>
      <c r="P14" s="60">
        <v>5</v>
      </c>
      <c r="Q14" s="124" t="s">
        <v>475</v>
      </c>
      <c r="R14" s="150">
        <v>0</v>
      </c>
    </row>
    <row r="15" spans="1:18" ht="18" customHeight="1" x14ac:dyDescent="0.25">
      <c r="A15" s="168"/>
      <c r="B15" s="138"/>
      <c r="C15" s="139"/>
      <c r="D15" s="140"/>
      <c r="E15" s="141"/>
      <c r="F15" s="117" t="str">
        <f>"DO"&amp;E14&amp;"-"</f>
        <v>DO7-</v>
      </c>
      <c r="G15" s="139"/>
      <c r="H15" s="139"/>
      <c r="I15" s="55" t="s">
        <v>404</v>
      </c>
      <c r="J15" s="139"/>
      <c r="K15" s="139"/>
      <c r="L15" s="117" t="s">
        <v>376</v>
      </c>
      <c r="M15" s="117" t="s">
        <v>439</v>
      </c>
      <c r="N15" s="117" t="str">
        <f ca="1">D14&amp;"/"&amp;F15</f>
        <v>014/DO7-</v>
      </c>
      <c r="O15" s="117" t="s">
        <v>549</v>
      </c>
      <c r="P15" s="73">
        <v>6</v>
      </c>
      <c r="Q15" s="142"/>
      <c r="R15" s="151"/>
    </row>
    <row r="16" spans="1:18" ht="18" customHeight="1" x14ac:dyDescent="0.25">
      <c r="A16" s="169" t="str">
        <f ca="1">"SPDO-"&amp;D16&amp;"/"&amp;E16</f>
        <v>SPDO-014/8</v>
      </c>
      <c r="B16" s="101" t="s">
        <v>379</v>
      </c>
      <c r="C16" s="102" t="s">
        <v>83</v>
      </c>
      <c r="D16" s="143" t="str" cm="1">
        <f t="array" aca="1" ref="D16" ca="1">_xlfn.LET(_xlpm.filepath,CELL("filename",D16),MID(_xlpm.filepath,FIND("]",_xlpm.filepath)+1,3))</f>
        <v>014</v>
      </c>
      <c r="E16" s="144" t="s">
        <v>102</v>
      </c>
      <c r="F16" s="104" t="str">
        <f>"DO"&amp;E16&amp;"+"</f>
        <v>DO8+</v>
      </c>
      <c r="G16" s="102" t="s">
        <v>232</v>
      </c>
      <c r="H16" s="102" t="s">
        <v>233</v>
      </c>
      <c r="I16" s="58" t="s">
        <v>405</v>
      </c>
      <c r="J16" s="102"/>
      <c r="K16" s="102"/>
      <c r="L16" s="104" t="s">
        <v>378</v>
      </c>
      <c r="M16" s="104" t="s">
        <v>439</v>
      </c>
      <c r="N16" s="104" t="str">
        <f ca="1">D16&amp;"/"&amp;F16</f>
        <v>014/DO8+</v>
      </c>
      <c r="O16" s="104" t="s">
        <v>527</v>
      </c>
      <c r="P16" s="74">
        <v>13</v>
      </c>
      <c r="Q16" s="103" t="s">
        <v>475</v>
      </c>
      <c r="R16" s="317" t="s">
        <v>91</v>
      </c>
    </row>
    <row r="17" spans="1:18" ht="18" customHeight="1" x14ac:dyDescent="0.25">
      <c r="A17" s="170"/>
      <c r="B17" s="126"/>
      <c r="C17" s="127"/>
      <c r="D17" s="145"/>
      <c r="E17" s="146"/>
      <c r="F17" s="147" t="str">
        <f>"DO"&amp;E16&amp;"-"</f>
        <v>DO8-</v>
      </c>
      <c r="G17" s="127"/>
      <c r="H17" s="127"/>
      <c r="I17" s="59" t="s">
        <v>406</v>
      </c>
      <c r="J17" s="129"/>
      <c r="K17" s="127"/>
      <c r="L17" s="147" t="s">
        <v>376</v>
      </c>
      <c r="M17" s="147" t="s">
        <v>439</v>
      </c>
      <c r="N17" s="147" t="str">
        <f ca="1">D16&amp;"/"&amp;F17</f>
        <v>014/DO8-</v>
      </c>
      <c r="O17" s="147" t="s">
        <v>527</v>
      </c>
      <c r="P17" s="75">
        <v>14</v>
      </c>
      <c r="Q17" s="128"/>
      <c r="R17" s="130"/>
    </row>
    <row r="18" spans="1:18" ht="18" customHeight="1" x14ac:dyDescent="0.25">
      <c r="A18" s="171" t="s">
        <v>250</v>
      </c>
      <c r="B18" s="120" t="s">
        <v>251</v>
      </c>
      <c r="C18" s="121" t="s">
        <v>83</v>
      </c>
      <c r="D18" s="148" t="str" cm="1">
        <f t="array" aca="1" ref="D18" ca="1">_xlfn.LET(_xlpm.filepath,CELL("filename",D18),MID(_xlpm.filepath,FIND("]",_xlpm.filepath)+1,3))</f>
        <v>014</v>
      </c>
      <c r="E18" s="149" t="s">
        <v>252</v>
      </c>
      <c r="F18" s="123" t="str">
        <f>"DO"&amp;E18&amp;"+"</f>
        <v>DO9+</v>
      </c>
      <c r="G18" s="121" t="s">
        <v>232</v>
      </c>
      <c r="H18" s="121" t="s">
        <v>233</v>
      </c>
      <c r="I18" s="53" t="s">
        <v>407</v>
      </c>
      <c r="J18" s="121" t="s">
        <v>75</v>
      </c>
      <c r="K18" s="121" t="s">
        <v>249</v>
      </c>
      <c r="L18" s="123" t="s">
        <v>378</v>
      </c>
      <c r="M18" s="123" t="s">
        <v>439</v>
      </c>
      <c r="N18" s="123" t="str">
        <f ca="1">D18&amp;"/"&amp;F18</f>
        <v>014/DO9+</v>
      </c>
      <c r="O18" s="123" t="s">
        <v>532</v>
      </c>
      <c r="P18" s="60">
        <v>3</v>
      </c>
      <c r="Q18" s="124" t="s">
        <v>475</v>
      </c>
      <c r="R18" s="150">
        <v>0</v>
      </c>
    </row>
    <row r="19" spans="1:18" ht="18" customHeight="1" x14ac:dyDescent="0.25">
      <c r="A19" s="168"/>
      <c r="B19" s="138"/>
      <c r="C19" s="139"/>
      <c r="D19" s="140"/>
      <c r="E19" s="141"/>
      <c r="F19" s="117" t="str">
        <f>"DO"&amp;E18&amp;"-"</f>
        <v>DO9-</v>
      </c>
      <c r="G19" s="139"/>
      <c r="H19" s="139"/>
      <c r="I19" s="55" t="s">
        <v>408</v>
      </c>
      <c r="J19" s="139"/>
      <c r="K19" s="139"/>
      <c r="L19" s="117" t="s">
        <v>376</v>
      </c>
      <c r="M19" s="117" t="s">
        <v>439</v>
      </c>
      <c r="N19" s="117" t="str">
        <f ca="1">D18&amp;"/"&amp;F19</f>
        <v>014/DO9-</v>
      </c>
      <c r="O19" s="117" t="s">
        <v>532</v>
      </c>
      <c r="P19" s="73">
        <v>4</v>
      </c>
      <c r="Q19" s="142"/>
      <c r="R19" s="151"/>
    </row>
    <row r="20" spans="1:18" ht="18" customHeight="1" x14ac:dyDescent="0.25">
      <c r="A20" s="169" t="s">
        <v>255</v>
      </c>
      <c r="B20" s="101" t="s">
        <v>256</v>
      </c>
      <c r="C20" s="102" t="s">
        <v>83</v>
      </c>
      <c r="D20" s="143" t="str" cm="1">
        <f t="array" aca="1" ref="D20" ca="1">_xlfn.LET(_xlpm.filepath,CELL("filename",D20),MID(_xlpm.filepath,FIND("]",_xlpm.filepath)+1,3))</f>
        <v>014</v>
      </c>
      <c r="E20" s="144" t="s">
        <v>105</v>
      </c>
      <c r="F20" s="104" t="str">
        <f>"DO"&amp;E20&amp;"+"</f>
        <v>DO10+</v>
      </c>
      <c r="G20" s="102" t="s">
        <v>232</v>
      </c>
      <c r="H20" s="102" t="s">
        <v>233</v>
      </c>
      <c r="I20" s="58" t="s">
        <v>409</v>
      </c>
      <c r="J20" s="102" t="s">
        <v>75</v>
      </c>
      <c r="K20" s="102" t="s">
        <v>249</v>
      </c>
      <c r="L20" s="104" t="s">
        <v>378</v>
      </c>
      <c r="M20" s="104" t="s">
        <v>439</v>
      </c>
      <c r="N20" s="104" t="str">
        <f ca="1">D20&amp;"/"&amp;F20</f>
        <v>014/DO10+</v>
      </c>
      <c r="O20" s="104" t="s">
        <v>532</v>
      </c>
      <c r="P20" s="74">
        <v>7</v>
      </c>
      <c r="Q20" s="103" t="s">
        <v>475</v>
      </c>
      <c r="R20" s="317" t="s">
        <v>91</v>
      </c>
    </row>
    <row r="21" spans="1:18" ht="18" customHeight="1" x14ac:dyDescent="0.25">
      <c r="A21" s="170"/>
      <c r="B21" s="126"/>
      <c r="C21" s="127"/>
      <c r="D21" s="145"/>
      <c r="E21" s="146"/>
      <c r="F21" s="147" t="str">
        <f>"DO"&amp;E20&amp;"-"</f>
        <v>DO10-</v>
      </c>
      <c r="G21" s="127"/>
      <c r="H21" s="127"/>
      <c r="I21" s="59" t="s">
        <v>410</v>
      </c>
      <c r="J21" s="129"/>
      <c r="K21" s="127"/>
      <c r="L21" s="147" t="s">
        <v>376</v>
      </c>
      <c r="M21" s="147" t="s">
        <v>439</v>
      </c>
      <c r="N21" s="147" t="str">
        <f ca="1">D20&amp;"/"&amp;F21</f>
        <v>014/DO10-</v>
      </c>
      <c r="O21" s="147" t="s">
        <v>532</v>
      </c>
      <c r="P21" s="75">
        <v>8</v>
      </c>
      <c r="Q21" s="128"/>
      <c r="R21" s="130"/>
    </row>
    <row r="22" spans="1:18" ht="18" customHeight="1" x14ac:dyDescent="0.25">
      <c r="A22" s="171" t="s">
        <v>260</v>
      </c>
      <c r="B22" s="120" t="s">
        <v>261</v>
      </c>
      <c r="C22" s="121" t="s">
        <v>83</v>
      </c>
      <c r="D22" s="148" t="str" cm="1">
        <f t="array" aca="1" ref="D22" ca="1">_xlfn.LET(_xlpm.filepath,CELL("filename",D22),MID(_xlpm.filepath,FIND("]",_xlpm.filepath)+1,3))</f>
        <v>014</v>
      </c>
      <c r="E22" s="149" t="s">
        <v>257</v>
      </c>
      <c r="F22" s="123" t="str">
        <f>"DO"&amp;E22&amp;"+"</f>
        <v>DO11+</v>
      </c>
      <c r="G22" s="121" t="s">
        <v>232</v>
      </c>
      <c r="H22" s="121" t="s">
        <v>233</v>
      </c>
      <c r="I22" s="53" t="s">
        <v>411</v>
      </c>
      <c r="J22" s="121" t="s">
        <v>75</v>
      </c>
      <c r="K22" s="121" t="s">
        <v>249</v>
      </c>
      <c r="L22" s="123" t="s">
        <v>378</v>
      </c>
      <c r="M22" s="123" t="s">
        <v>439</v>
      </c>
      <c r="N22" s="123" t="str">
        <f ca="1">D22&amp;"/"&amp;F22</f>
        <v>014/DO11+</v>
      </c>
      <c r="O22" s="123" t="s">
        <v>532</v>
      </c>
      <c r="P22" s="60">
        <v>11</v>
      </c>
      <c r="Q22" s="124" t="s">
        <v>475</v>
      </c>
      <c r="R22" s="150">
        <v>0</v>
      </c>
    </row>
    <row r="23" spans="1:18" ht="18" customHeight="1" x14ac:dyDescent="0.25">
      <c r="A23" s="168"/>
      <c r="B23" s="138"/>
      <c r="C23" s="139"/>
      <c r="D23" s="140"/>
      <c r="E23" s="141"/>
      <c r="F23" s="117" t="str">
        <f>"DO"&amp;E22&amp;"-"</f>
        <v>DO11-</v>
      </c>
      <c r="G23" s="139"/>
      <c r="H23" s="139"/>
      <c r="I23" s="55" t="s">
        <v>412</v>
      </c>
      <c r="J23" s="139"/>
      <c r="K23" s="139"/>
      <c r="L23" s="117" t="s">
        <v>376</v>
      </c>
      <c r="M23" s="117" t="s">
        <v>439</v>
      </c>
      <c r="N23" s="117" t="str">
        <f ca="1">D22&amp;"/"&amp;F23</f>
        <v>014/DO11-</v>
      </c>
      <c r="O23" s="117" t="s">
        <v>532</v>
      </c>
      <c r="P23" s="73">
        <v>12</v>
      </c>
      <c r="Q23" s="142"/>
      <c r="R23" s="151"/>
    </row>
    <row r="24" spans="1:18" ht="18" customHeight="1" x14ac:dyDescent="0.25">
      <c r="A24" s="169" t="s">
        <v>265</v>
      </c>
      <c r="B24" s="101" t="s">
        <v>266</v>
      </c>
      <c r="C24" s="102" t="s">
        <v>83</v>
      </c>
      <c r="D24" s="143" t="str" cm="1">
        <f t="array" aca="1" ref="D24" ca="1">_xlfn.LET(_xlpm.filepath,CELL("filename",D24),MID(_xlpm.filepath,FIND("]",_xlpm.filepath)+1,3))</f>
        <v>014</v>
      </c>
      <c r="E24" s="144" t="s">
        <v>108</v>
      </c>
      <c r="F24" s="104" t="str">
        <f>"DO"&amp;E24&amp;"+"</f>
        <v>DO12+</v>
      </c>
      <c r="G24" s="102" t="s">
        <v>232</v>
      </c>
      <c r="H24" s="102" t="s">
        <v>233</v>
      </c>
      <c r="I24" s="58" t="s">
        <v>413</v>
      </c>
      <c r="J24" s="102" t="s">
        <v>75</v>
      </c>
      <c r="K24" s="102" t="s">
        <v>249</v>
      </c>
      <c r="L24" s="104" t="s">
        <v>378</v>
      </c>
      <c r="M24" s="104" t="s">
        <v>439</v>
      </c>
      <c r="N24" s="104" t="str">
        <f ca="1">D24&amp;"/"&amp;F24</f>
        <v>014/DO12+</v>
      </c>
      <c r="O24" s="104" t="s">
        <v>532</v>
      </c>
      <c r="P24" s="74">
        <v>15</v>
      </c>
      <c r="Q24" s="103" t="s">
        <v>475</v>
      </c>
      <c r="R24" s="317" t="s">
        <v>91</v>
      </c>
    </row>
    <row r="25" spans="1:18" ht="18" customHeight="1" x14ac:dyDescent="0.25">
      <c r="A25" s="170"/>
      <c r="B25" s="126"/>
      <c r="C25" s="127"/>
      <c r="D25" s="145"/>
      <c r="E25" s="146"/>
      <c r="F25" s="147" t="str">
        <f>"DO"&amp;E24&amp;"-"</f>
        <v>DO12-</v>
      </c>
      <c r="G25" s="127"/>
      <c r="H25" s="127"/>
      <c r="I25" s="59" t="s">
        <v>414</v>
      </c>
      <c r="J25" s="129"/>
      <c r="K25" s="127"/>
      <c r="L25" s="147" t="s">
        <v>376</v>
      </c>
      <c r="M25" s="147" t="s">
        <v>439</v>
      </c>
      <c r="N25" s="147" t="str">
        <f ca="1">D24&amp;"/"&amp;F25</f>
        <v>014/DO12-</v>
      </c>
      <c r="O25" s="147" t="s">
        <v>532</v>
      </c>
      <c r="P25" s="75">
        <v>16</v>
      </c>
      <c r="Q25" s="128"/>
      <c r="R25" s="130"/>
    </row>
    <row r="26" spans="1:18" ht="18" customHeight="1" x14ac:dyDescent="0.25">
      <c r="A26" s="171" t="s">
        <v>351</v>
      </c>
      <c r="B26" s="120" t="s">
        <v>548</v>
      </c>
      <c r="C26" s="121" t="s">
        <v>83</v>
      </c>
      <c r="D26" s="148" t="str" cm="1">
        <f t="array" aca="1" ref="D26" ca="1">_xlfn.LET(_xlpm.filepath,CELL("filename",D26),MID(_xlpm.filepath,FIND("]",_xlpm.filepath)+1,3))</f>
        <v>014</v>
      </c>
      <c r="E26" s="149" t="s">
        <v>262</v>
      </c>
      <c r="F26" s="123" t="str">
        <f>"DO"&amp;E26&amp;"+"</f>
        <v>DO13+</v>
      </c>
      <c r="G26" s="121" t="s">
        <v>232</v>
      </c>
      <c r="H26" s="121" t="s">
        <v>233</v>
      </c>
      <c r="I26" s="53" t="s">
        <v>415</v>
      </c>
      <c r="J26" s="121" t="s">
        <v>56</v>
      </c>
      <c r="K26" s="121" t="s">
        <v>352</v>
      </c>
      <c r="L26" s="123" t="s">
        <v>378</v>
      </c>
      <c r="M26" s="123" t="s">
        <v>439</v>
      </c>
      <c r="N26" s="123" t="str">
        <f ca="1">D26&amp;"/"&amp;F26</f>
        <v>014/DO13+</v>
      </c>
      <c r="O26" s="123" t="s">
        <v>528</v>
      </c>
      <c r="P26" s="60">
        <v>5</v>
      </c>
      <c r="Q26" s="124" t="s">
        <v>475</v>
      </c>
      <c r="R26" s="150">
        <v>0</v>
      </c>
    </row>
    <row r="27" spans="1:18" ht="18" customHeight="1" x14ac:dyDescent="0.25">
      <c r="A27" s="168"/>
      <c r="B27" s="138"/>
      <c r="C27" s="139"/>
      <c r="D27" s="140"/>
      <c r="E27" s="141"/>
      <c r="F27" s="117" t="str">
        <f>"DO"&amp;E26&amp;"-"</f>
        <v>DO13-</v>
      </c>
      <c r="G27" s="139"/>
      <c r="H27" s="139"/>
      <c r="I27" s="55" t="s">
        <v>416</v>
      </c>
      <c r="J27" s="139"/>
      <c r="K27" s="139"/>
      <c r="L27" s="117" t="s">
        <v>376</v>
      </c>
      <c r="M27" s="117" t="s">
        <v>439</v>
      </c>
      <c r="N27" s="117" t="str">
        <f ca="1">D26&amp;"/"&amp;F27</f>
        <v>014/DO13-</v>
      </c>
      <c r="O27" s="117" t="s">
        <v>528</v>
      </c>
      <c r="P27" s="73">
        <v>6</v>
      </c>
      <c r="Q27" s="142"/>
      <c r="R27" s="151"/>
    </row>
    <row r="28" spans="1:18" ht="18" customHeight="1" x14ac:dyDescent="0.25">
      <c r="A28" s="169" t="s">
        <v>353</v>
      </c>
      <c r="B28" s="101" t="s">
        <v>547</v>
      </c>
      <c r="C28" s="102" t="s">
        <v>83</v>
      </c>
      <c r="D28" s="143" t="str" cm="1">
        <f t="array" aca="1" ref="D28" ca="1">_xlfn.LET(_xlpm.filepath,CELL("filename",D28),MID(_xlpm.filepath,FIND("]",_xlpm.filepath)+1,3))</f>
        <v>014</v>
      </c>
      <c r="E28" s="144" t="s">
        <v>112</v>
      </c>
      <c r="F28" s="104" t="str">
        <f>"DO"&amp;E28&amp;"+"</f>
        <v>DO14+</v>
      </c>
      <c r="G28" s="102" t="s">
        <v>232</v>
      </c>
      <c r="H28" s="102" t="s">
        <v>233</v>
      </c>
      <c r="I28" s="58" t="s">
        <v>417</v>
      </c>
      <c r="J28" s="102" t="s">
        <v>56</v>
      </c>
      <c r="K28" s="102" t="s">
        <v>352</v>
      </c>
      <c r="L28" s="104" t="s">
        <v>378</v>
      </c>
      <c r="M28" s="104" t="s">
        <v>439</v>
      </c>
      <c r="N28" s="104" t="str">
        <f ca="1">D28&amp;"/"&amp;F28</f>
        <v>014/DO14+</v>
      </c>
      <c r="O28" s="104" t="s">
        <v>528</v>
      </c>
      <c r="P28" s="74">
        <v>7</v>
      </c>
      <c r="Q28" s="103" t="s">
        <v>475</v>
      </c>
      <c r="R28" s="317" t="s">
        <v>91</v>
      </c>
    </row>
    <row r="29" spans="1:18" ht="18" customHeight="1" thickBot="1" x14ac:dyDescent="0.3">
      <c r="A29" s="170"/>
      <c r="B29" s="126"/>
      <c r="C29" s="127"/>
      <c r="D29" s="145"/>
      <c r="E29" s="146"/>
      <c r="F29" s="147" t="str">
        <f>"DO"&amp;E28&amp;"-"</f>
        <v>DO14-</v>
      </c>
      <c r="G29" s="127"/>
      <c r="H29" s="127"/>
      <c r="I29" s="59" t="s">
        <v>418</v>
      </c>
      <c r="J29" s="129"/>
      <c r="K29" s="127"/>
      <c r="L29" s="147" t="s">
        <v>376</v>
      </c>
      <c r="M29" s="147" t="s">
        <v>439</v>
      </c>
      <c r="N29" s="147" t="str">
        <f ca="1">D28&amp;"/"&amp;F29</f>
        <v>014/DO14-</v>
      </c>
      <c r="O29" s="241" t="s">
        <v>528</v>
      </c>
      <c r="P29" s="240">
        <v>8</v>
      </c>
      <c r="Q29" s="128"/>
      <c r="R29" s="130"/>
    </row>
    <row r="30" spans="1:18" ht="18" customHeight="1" thickTop="1" x14ac:dyDescent="0.25">
      <c r="A30" s="171" t="s">
        <v>311</v>
      </c>
      <c r="B30" s="120" t="s">
        <v>546</v>
      </c>
      <c r="C30" s="121" t="s">
        <v>83</v>
      </c>
      <c r="D30" s="148" t="str" cm="1">
        <f t="array" aca="1" ref="D30" ca="1">_xlfn.LET(_xlpm.filepath,CELL("filename",D30),MID(_xlpm.filepath,FIND("]",_xlpm.filepath)+1,3))</f>
        <v>014</v>
      </c>
      <c r="E30" s="149" t="s">
        <v>267</v>
      </c>
      <c r="F30" s="123" t="str">
        <f>"DO"&amp;E30&amp;"+"</f>
        <v>DO15+</v>
      </c>
      <c r="G30" s="121" t="s">
        <v>232</v>
      </c>
      <c r="H30" s="121" t="s">
        <v>233</v>
      </c>
      <c r="I30" s="53" t="s">
        <v>419</v>
      </c>
      <c r="J30" s="121" t="s">
        <v>56</v>
      </c>
      <c r="K30" s="121" t="s">
        <v>312</v>
      </c>
      <c r="L30" s="123" t="s">
        <v>378</v>
      </c>
      <c r="M30" s="123" t="s">
        <v>439</v>
      </c>
      <c r="N30" s="123" t="str">
        <f ca="1">D30&amp;"/"&amp;F30</f>
        <v>014/DO15+</v>
      </c>
      <c r="O30" s="217" t="s">
        <v>536</v>
      </c>
      <c r="P30" s="238">
        <v>1</v>
      </c>
      <c r="Q30" s="124" t="s">
        <v>475</v>
      </c>
      <c r="R30" s="150">
        <v>0</v>
      </c>
    </row>
    <row r="31" spans="1:18" ht="18" customHeight="1" x14ac:dyDescent="0.25">
      <c r="A31" s="168"/>
      <c r="B31" s="138"/>
      <c r="C31" s="139"/>
      <c r="D31" s="140"/>
      <c r="E31" s="141"/>
      <c r="F31" s="117" t="str">
        <f>"DO"&amp;E30&amp;"-"</f>
        <v>DO15-</v>
      </c>
      <c r="G31" s="139"/>
      <c r="H31" s="139"/>
      <c r="I31" s="55" t="s">
        <v>420</v>
      </c>
      <c r="J31" s="139"/>
      <c r="K31" s="139"/>
      <c r="L31" s="117" t="s">
        <v>376</v>
      </c>
      <c r="M31" s="117" t="s">
        <v>439</v>
      </c>
      <c r="N31" s="117" t="str">
        <f ca="1">D30&amp;"/"&amp;F31</f>
        <v>014/DO15-</v>
      </c>
      <c r="O31" s="117" t="s">
        <v>536</v>
      </c>
      <c r="P31" s="73">
        <v>2</v>
      </c>
      <c r="Q31" s="142"/>
      <c r="R31" s="151"/>
    </row>
    <row r="32" spans="1:18" ht="18" customHeight="1" x14ac:dyDescent="0.25">
      <c r="A32" s="169" t="s">
        <v>314</v>
      </c>
      <c r="B32" s="101" t="s">
        <v>545</v>
      </c>
      <c r="C32" s="102" t="s">
        <v>83</v>
      </c>
      <c r="D32" s="143" t="str" cm="1">
        <f t="array" aca="1" ref="D32" ca="1">_xlfn.LET(_xlpm.filepath,CELL("filename",D32),MID(_xlpm.filepath,FIND("]",_xlpm.filepath)+1,3))</f>
        <v>014</v>
      </c>
      <c r="E32" s="144" t="s">
        <v>118</v>
      </c>
      <c r="F32" s="104" t="str">
        <f>"DO"&amp;E32&amp;"+"</f>
        <v>DO16+</v>
      </c>
      <c r="G32" s="102" t="s">
        <v>232</v>
      </c>
      <c r="H32" s="102" t="s">
        <v>233</v>
      </c>
      <c r="I32" s="58" t="s">
        <v>421</v>
      </c>
      <c r="J32" s="102" t="s">
        <v>56</v>
      </c>
      <c r="K32" s="102" t="s">
        <v>315</v>
      </c>
      <c r="L32" s="104" t="s">
        <v>378</v>
      </c>
      <c r="M32" s="104" t="s">
        <v>439</v>
      </c>
      <c r="N32" s="104" t="str">
        <f ca="1">D32&amp;"/"&amp;F32</f>
        <v>014/DO16+</v>
      </c>
      <c r="O32" s="104" t="s">
        <v>536</v>
      </c>
      <c r="P32" s="74">
        <v>5</v>
      </c>
      <c r="Q32" s="103" t="s">
        <v>475</v>
      </c>
      <c r="R32" s="317" t="s">
        <v>91</v>
      </c>
    </row>
    <row r="33" spans="1:18" ht="18" customHeight="1" x14ac:dyDescent="0.25">
      <c r="A33" s="170"/>
      <c r="B33" s="126"/>
      <c r="C33" s="127"/>
      <c r="D33" s="145"/>
      <c r="E33" s="146"/>
      <c r="F33" s="147" t="str">
        <f>"DO"&amp;E32&amp;"-"</f>
        <v>DO16-</v>
      </c>
      <c r="G33" s="127"/>
      <c r="H33" s="127"/>
      <c r="I33" s="59" t="s">
        <v>422</v>
      </c>
      <c r="J33" s="129"/>
      <c r="K33" s="127"/>
      <c r="L33" s="147" t="s">
        <v>376</v>
      </c>
      <c r="M33" s="147" t="s">
        <v>439</v>
      </c>
      <c r="N33" s="147" t="str">
        <f ca="1">D32&amp;"/"&amp;F33</f>
        <v>014/DO16-</v>
      </c>
      <c r="O33" s="147" t="s">
        <v>536</v>
      </c>
      <c r="P33" s="75">
        <v>6</v>
      </c>
      <c r="Q33" s="128"/>
      <c r="R33" s="130"/>
    </row>
    <row r="34" spans="1:18" ht="18" customHeight="1" x14ac:dyDescent="0.25">
      <c r="A34" s="171" t="s">
        <v>326</v>
      </c>
      <c r="B34" s="120" t="s">
        <v>544</v>
      </c>
      <c r="C34" s="121" t="s">
        <v>83</v>
      </c>
      <c r="D34" s="148" t="str" cm="1">
        <f t="array" aca="1" ref="D34" ca="1">_xlfn.LET(_xlpm.filepath,CELL("filename",D34),MID(_xlpm.filepath,FIND("]",_xlpm.filepath)+1,3))</f>
        <v>014</v>
      </c>
      <c r="E34" s="149" t="s">
        <v>270</v>
      </c>
      <c r="F34" s="123" t="str">
        <f>"DO"&amp;E34&amp;"+"</f>
        <v>DO17+</v>
      </c>
      <c r="G34" s="121" t="s">
        <v>232</v>
      </c>
      <c r="H34" s="121" t="s">
        <v>233</v>
      </c>
      <c r="I34" s="53" t="s">
        <v>423</v>
      </c>
      <c r="J34" s="121" t="s">
        <v>56</v>
      </c>
      <c r="K34" s="121" t="s">
        <v>327</v>
      </c>
      <c r="L34" s="123" t="s">
        <v>378</v>
      </c>
      <c r="M34" s="123" t="s">
        <v>439</v>
      </c>
      <c r="N34" s="123" t="str">
        <f ca="1">D34&amp;"/"&amp;F34</f>
        <v>014/DO17+</v>
      </c>
      <c r="O34" s="123" t="s">
        <v>536</v>
      </c>
      <c r="P34" s="60">
        <v>9</v>
      </c>
      <c r="Q34" s="124" t="s">
        <v>475</v>
      </c>
      <c r="R34" s="150">
        <v>0</v>
      </c>
    </row>
    <row r="35" spans="1:18" ht="18" customHeight="1" x14ac:dyDescent="0.25">
      <c r="A35" s="168"/>
      <c r="B35" s="138"/>
      <c r="C35" s="139"/>
      <c r="D35" s="140"/>
      <c r="E35" s="141"/>
      <c r="F35" s="117" t="str">
        <f>"DO"&amp;E34&amp;"-"</f>
        <v>DO17-</v>
      </c>
      <c r="G35" s="139"/>
      <c r="H35" s="139"/>
      <c r="I35" s="55" t="s">
        <v>424</v>
      </c>
      <c r="J35" s="139"/>
      <c r="K35" s="139"/>
      <c r="L35" s="117" t="s">
        <v>376</v>
      </c>
      <c r="M35" s="117" t="s">
        <v>439</v>
      </c>
      <c r="N35" s="117" t="str">
        <f ca="1">D34&amp;"/"&amp;F35</f>
        <v>014/DO17-</v>
      </c>
      <c r="O35" s="117" t="s">
        <v>536</v>
      </c>
      <c r="P35" s="73">
        <v>10</v>
      </c>
      <c r="Q35" s="142"/>
      <c r="R35" s="151"/>
    </row>
    <row r="36" spans="1:18" ht="18" customHeight="1" x14ac:dyDescent="0.25">
      <c r="A36" s="169" t="s">
        <v>329</v>
      </c>
      <c r="B36" s="101" t="s">
        <v>543</v>
      </c>
      <c r="C36" s="102" t="s">
        <v>83</v>
      </c>
      <c r="D36" s="143" t="str" cm="1">
        <f t="array" aca="1" ref="D36" ca="1">_xlfn.LET(_xlpm.filepath,CELL("filename",D36),MID(_xlpm.filepath,FIND("]",_xlpm.filepath)+1,3))</f>
        <v>014</v>
      </c>
      <c r="E36" s="144" t="s">
        <v>123</v>
      </c>
      <c r="F36" s="104" t="str">
        <f>"DO"&amp;E36&amp;"+"</f>
        <v>DO18+</v>
      </c>
      <c r="G36" s="102" t="s">
        <v>232</v>
      </c>
      <c r="H36" s="102" t="s">
        <v>233</v>
      </c>
      <c r="I36" s="58" t="s">
        <v>425</v>
      </c>
      <c r="J36" s="102" t="s">
        <v>56</v>
      </c>
      <c r="K36" s="102" t="s">
        <v>330</v>
      </c>
      <c r="L36" s="104" t="s">
        <v>378</v>
      </c>
      <c r="M36" s="104" t="s">
        <v>439</v>
      </c>
      <c r="N36" s="104" t="str">
        <f ca="1">D36&amp;"/"&amp;F36</f>
        <v>014/DO18+</v>
      </c>
      <c r="O36" s="104" t="s">
        <v>536</v>
      </c>
      <c r="P36" s="74">
        <v>13</v>
      </c>
      <c r="Q36" s="103" t="s">
        <v>475</v>
      </c>
      <c r="R36" s="317" t="s">
        <v>91</v>
      </c>
    </row>
    <row r="37" spans="1:18" ht="18" customHeight="1" x14ac:dyDescent="0.25">
      <c r="A37" s="170"/>
      <c r="B37" s="126"/>
      <c r="C37" s="127"/>
      <c r="D37" s="145"/>
      <c r="E37" s="146"/>
      <c r="F37" s="147" t="str">
        <f>"DO"&amp;E36&amp;"-"</f>
        <v>DO18-</v>
      </c>
      <c r="G37" s="127"/>
      <c r="H37" s="127"/>
      <c r="I37" s="59" t="s">
        <v>426</v>
      </c>
      <c r="J37" s="129"/>
      <c r="K37" s="127"/>
      <c r="L37" s="147" t="s">
        <v>376</v>
      </c>
      <c r="M37" s="147" t="s">
        <v>439</v>
      </c>
      <c r="N37" s="147" t="str">
        <f ca="1">D36&amp;"/"&amp;F37</f>
        <v>014/DO18-</v>
      </c>
      <c r="O37" s="147" t="s">
        <v>536</v>
      </c>
      <c r="P37" s="75">
        <v>14</v>
      </c>
      <c r="Q37" s="128"/>
      <c r="R37" s="130"/>
    </row>
    <row r="38" spans="1:18" ht="18" customHeight="1" x14ac:dyDescent="0.25">
      <c r="A38" s="171" t="s">
        <v>542</v>
      </c>
      <c r="B38" s="120" t="s">
        <v>541</v>
      </c>
      <c r="C38" s="121" t="s">
        <v>83</v>
      </c>
      <c r="D38" s="148" t="str" cm="1">
        <f t="array" aca="1" ref="D38" ca="1">_xlfn.LET(_xlpm.filepath,CELL("filename",D38),MID(_xlpm.filepath,FIND("]",_xlpm.filepath)+1,3))</f>
        <v>014</v>
      </c>
      <c r="E38" s="149" t="s">
        <v>275</v>
      </c>
      <c r="F38" s="123" t="str">
        <f>"DO"&amp;E38&amp;"+"</f>
        <v>DO19+</v>
      </c>
      <c r="G38" s="121" t="s">
        <v>232</v>
      </c>
      <c r="H38" s="121" t="s">
        <v>233</v>
      </c>
      <c r="I38" s="53" t="s">
        <v>427</v>
      </c>
      <c r="J38" s="121" t="s">
        <v>56</v>
      </c>
      <c r="K38" s="121" t="s">
        <v>540</v>
      </c>
      <c r="L38" s="123" t="s">
        <v>378</v>
      </c>
      <c r="M38" s="123" t="s">
        <v>439</v>
      </c>
      <c r="N38" s="123" t="str">
        <f ca="1">D38&amp;"/"&amp;F38</f>
        <v>014/DO19+</v>
      </c>
      <c r="O38" s="123" t="s">
        <v>536</v>
      </c>
      <c r="P38" s="60">
        <v>17</v>
      </c>
      <c r="Q38" s="124" t="s">
        <v>475</v>
      </c>
      <c r="R38" s="150">
        <v>0</v>
      </c>
    </row>
    <row r="39" spans="1:18" ht="18" customHeight="1" x14ac:dyDescent="0.25">
      <c r="A39" s="168"/>
      <c r="B39" s="138"/>
      <c r="C39" s="139"/>
      <c r="D39" s="140"/>
      <c r="E39" s="141"/>
      <c r="F39" s="117" t="str">
        <f>"DO"&amp;E38&amp;"-"</f>
        <v>DO19-</v>
      </c>
      <c r="G39" s="139"/>
      <c r="H39" s="139"/>
      <c r="I39" s="55" t="s">
        <v>428</v>
      </c>
      <c r="J39" s="139"/>
      <c r="K39" s="139"/>
      <c r="L39" s="117" t="s">
        <v>376</v>
      </c>
      <c r="M39" s="117" t="s">
        <v>439</v>
      </c>
      <c r="N39" s="117" t="str">
        <f ca="1">D38&amp;"/"&amp;F39</f>
        <v>014/DO19-</v>
      </c>
      <c r="O39" s="117" t="s">
        <v>536</v>
      </c>
      <c r="P39" s="73">
        <v>18</v>
      </c>
      <c r="Q39" s="142"/>
      <c r="R39" s="151"/>
    </row>
    <row r="40" spans="1:18" ht="18" customHeight="1" x14ac:dyDescent="0.25">
      <c r="A40" s="169" t="s">
        <v>539</v>
      </c>
      <c r="B40" s="101" t="s">
        <v>538</v>
      </c>
      <c r="C40" s="102" t="s">
        <v>83</v>
      </c>
      <c r="D40" s="143" t="str" cm="1">
        <f t="array" aca="1" ref="D40" ca="1">_xlfn.LET(_xlpm.filepath,CELL("filename",D40),MID(_xlpm.filepath,FIND("]",_xlpm.filepath)+1,3))</f>
        <v>014</v>
      </c>
      <c r="E40" s="144" t="s">
        <v>128</v>
      </c>
      <c r="F40" s="104" t="str">
        <f>"DO"&amp;E40&amp;"+"</f>
        <v>DO20+</v>
      </c>
      <c r="G40" s="102" t="s">
        <v>232</v>
      </c>
      <c r="H40" s="102" t="s">
        <v>233</v>
      </c>
      <c r="I40" s="58" t="s">
        <v>429</v>
      </c>
      <c r="J40" s="102" t="s">
        <v>56</v>
      </c>
      <c r="K40" s="102" t="s">
        <v>537</v>
      </c>
      <c r="L40" s="104" t="s">
        <v>378</v>
      </c>
      <c r="M40" s="104" t="s">
        <v>439</v>
      </c>
      <c r="N40" s="104" t="str">
        <f ca="1">D40&amp;"/"&amp;F40</f>
        <v>014/DO20+</v>
      </c>
      <c r="O40" s="104" t="s">
        <v>536</v>
      </c>
      <c r="P40" s="74">
        <v>21</v>
      </c>
      <c r="Q40" s="103" t="s">
        <v>475</v>
      </c>
      <c r="R40" s="317" t="s">
        <v>91</v>
      </c>
    </row>
    <row r="41" spans="1:18" ht="18" customHeight="1" x14ac:dyDescent="0.25">
      <c r="A41" s="170"/>
      <c r="B41" s="126"/>
      <c r="C41" s="127"/>
      <c r="D41" s="145"/>
      <c r="E41" s="146"/>
      <c r="F41" s="147" t="str">
        <f>"DO"&amp;E40&amp;"-"</f>
        <v>DO20-</v>
      </c>
      <c r="G41" s="127"/>
      <c r="H41" s="127"/>
      <c r="I41" s="59" t="s">
        <v>430</v>
      </c>
      <c r="J41" s="129"/>
      <c r="K41" s="127"/>
      <c r="L41" s="147" t="s">
        <v>376</v>
      </c>
      <c r="M41" s="147" t="s">
        <v>439</v>
      </c>
      <c r="N41" s="147" t="str">
        <f ca="1">D40&amp;"/"&amp;F41</f>
        <v>014/DO20-</v>
      </c>
      <c r="O41" s="147" t="s">
        <v>536</v>
      </c>
      <c r="P41" s="75">
        <v>22</v>
      </c>
      <c r="Q41" s="128"/>
      <c r="R41" s="130"/>
    </row>
    <row r="42" spans="1:18" ht="18" customHeight="1" x14ac:dyDescent="0.25">
      <c r="A42" s="119" t="str">
        <f ca="1">"SPDO-"&amp;D42&amp;"/"&amp;E42</f>
        <v>SPDO-014/21</v>
      </c>
      <c r="B42" s="120" t="s">
        <v>379</v>
      </c>
      <c r="C42" s="121" t="s">
        <v>83</v>
      </c>
      <c r="D42" s="148" t="str" cm="1">
        <f t="array" aca="1" ref="D42" ca="1">_xlfn.LET(_xlpm.filepath,CELL("filename",D42),MID(_xlpm.filepath,FIND("]",_xlpm.filepath)+1,3))</f>
        <v>014</v>
      </c>
      <c r="E42" s="149" t="s">
        <v>280</v>
      </c>
      <c r="F42" s="123" t="str">
        <f>"DO"&amp;E42&amp;"+"</f>
        <v>DO21+</v>
      </c>
      <c r="G42" s="121" t="s">
        <v>232</v>
      </c>
      <c r="H42" s="121" t="s">
        <v>233</v>
      </c>
      <c r="I42" s="53" t="s">
        <v>431</v>
      </c>
      <c r="J42" s="121"/>
      <c r="K42" s="121"/>
      <c r="L42" s="123" t="s">
        <v>378</v>
      </c>
      <c r="M42" s="123" t="s">
        <v>439</v>
      </c>
      <c r="N42" s="123" t="str">
        <f ca="1">D42&amp;"/"&amp;F42</f>
        <v>014/DO21+</v>
      </c>
      <c r="O42" s="123" t="s">
        <v>527</v>
      </c>
      <c r="P42" s="60">
        <v>15</v>
      </c>
      <c r="Q42" s="124" t="s">
        <v>475</v>
      </c>
      <c r="R42" s="150">
        <v>0</v>
      </c>
    </row>
    <row r="43" spans="1:18" ht="18" customHeight="1" x14ac:dyDescent="0.25">
      <c r="A43" s="137"/>
      <c r="B43" s="138"/>
      <c r="C43" s="139"/>
      <c r="D43" s="140"/>
      <c r="E43" s="141"/>
      <c r="F43" s="117" t="str">
        <f>"DO"&amp;E42&amp;"-"</f>
        <v>DO21-</v>
      </c>
      <c r="G43" s="139"/>
      <c r="H43" s="139"/>
      <c r="I43" s="55" t="s">
        <v>432</v>
      </c>
      <c r="J43" s="139"/>
      <c r="K43" s="139"/>
      <c r="L43" s="117" t="s">
        <v>376</v>
      </c>
      <c r="M43" s="117" t="s">
        <v>439</v>
      </c>
      <c r="N43" s="117" t="str">
        <f ca="1">D42&amp;"/"&amp;F43</f>
        <v>014/DO21-</v>
      </c>
      <c r="O43" s="117" t="s">
        <v>527</v>
      </c>
      <c r="P43" s="73">
        <v>16</v>
      </c>
      <c r="Q43" s="142"/>
      <c r="R43" s="151"/>
    </row>
    <row r="44" spans="1:18" ht="18" customHeight="1" x14ac:dyDescent="0.25">
      <c r="A44" s="100" t="str">
        <f ca="1">"SPDO-"&amp;D44&amp;"/"&amp;E44</f>
        <v>SPDO-014/22</v>
      </c>
      <c r="B44" s="101" t="s">
        <v>379</v>
      </c>
      <c r="C44" s="102" t="s">
        <v>83</v>
      </c>
      <c r="D44" s="143" t="str" cm="1">
        <f t="array" aca="1" ref="D44" ca="1">_xlfn.LET(_xlpm.filepath,CELL("filename",D44),MID(_xlpm.filepath,FIND("]",_xlpm.filepath)+1,3))</f>
        <v>014</v>
      </c>
      <c r="E44" s="144" t="s">
        <v>132</v>
      </c>
      <c r="F44" s="104" t="str">
        <f>"DO"&amp;E44&amp;"+"</f>
        <v>DO22+</v>
      </c>
      <c r="G44" s="102" t="s">
        <v>232</v>
      </c>
      <c r="H44" s="102" t="s">
        <v>233</v>
      </c>
      <c r="I44" s="58" t="s">
        <v>433</v>
      </c>
      <c r="J44" s="102"/>
      <c r="K44" s="102"/>
      <c r="L44" s="104" t="s">
        <v>378</v>
      </c>
      <c r="M44" s="104" t="s">
        <v>439</v>
      </c>
      <c r="N44" s="104" t="str">
        <f ca="1">D44&amp;"/"&amp;F44</f>
        <v>014/DO22+</v>
      </c>
      <c r="O44" s="104" t="s">
        <v>527</v>
      </c>
      <c r="P44" s="74">
        <v>17</v>
      </c>
      <c r="Q44" s="103" t="s">
        <v>475</v>
      </c>
      <c r="R44" s="317" t="s">
        <v>91</v>
      </c>
    </row>
    <row r="45" spans="1:18" ht="18" customHeight="1" x14ac:dyDescent="0.25">
      <c r="A45" s="125"/>
      <c r="B45" s="126"/>
      <c r="C45" s="127"/>
      <c r="D45" s="145"/>
      <c r="E45" s="146"/>
      <c r="F45" s="147" t="str">
        <f>"DO"&amp;E44&amp;"-"</f>
        <v>DO22-</v>
      </c>
      <c r="G45" s="127"/>
      <c r="H45" s="127"/>
      <c r="I45" s="59" t="s">
        <v>434</v>
      </c>
      <c r="J45" s="129"/>
      <c r="K45" s="127"/>
      <c r="L45" s="147" t="s">
        <v>376</v>
      </c>
      <c r="M45" s="147" t="s">
        <v>439</v>
      </c>
      <c r="N45" s="147" t="str">
        <f ca="1">D44&amp;"/"&amp;F45</f>
        <v>014/DO22-</v>
      </c>
      <c r="O45" s="147" t="s">
        <v>527</v>
      </c>
      <c r="P45" s="75">
        <v>18</v>
      </c>
      <c r="Q45" s="128"/>
      <c r="R45" s="130"/>
    </row>
    <row r="46" spans="1:18" ht="18" customHeight="1" x14ac:dyDescent="0.25">
      <c r="A46" s="119" t="str">
        <f ca="1">"SPDO-"&amp;D46&amp;"/"&amp;E46</f>
        <v>SPDO-014/23</v>
      </c>
      <c r="B46" s="120" t="s">
        <v>379</v>
      </c>
      <c r="C46" s="121" t="s">
        <v>83</v>
      </c>
      <c r="D46" s="148" t="str" cm="1">
        <f t="array" aca="1" ref="D46" ca="1">_xlfn.LET(_xlpm.filepath,CELL("filename",D46),MID(_xlpm.filepath,FIND("]",_xlpm.filepath)+1,3))</f>
        <v>014</v>
      </c>
      <c r="E46" s="149" t="s">
        <v>283</v>
      </c>
      <c r="F46" s="123" t="str">
        <f>"DO"&amp;E46&amp;"+"</f>
        <v>DO23+</v>
      </c>
      <c r="G46" s="121" t="s">
        <v>232</v>
      </c>
      <c r="H46" s="121" t="s">
        <v>233</v>
      </c>
      <c r="I46" s="53" t="s">
        <v>435</v>
      </c>
      <c r="J46" s="121"/>
      <c r="K46" s="121"/>
      <c r="L46" s="123" t="s">
        <v>378</v>
      </c>
      <c r="M46" s="123" t="s">
        <v>439</v>
      </c>
      <c r="N46" s="123" t="str">
        <f ca="1">D46&amp;"/"&amp;F46</f>
        <v>014/DO23+</v>
      </c>
      <c r="O46" s="123" t="s">
        <v>527</v>
      </c>
      <c r="P46" s="60">
        <v>19</v>
      </c>
      <c r="Q46" s="124" t="s">
        <v>475</v>
      </c>
      <c r="R46" s="150">
        <v>0</v>
      </c>
    </row>
    <row r="47" spans="1:18" ht="18" customHeight="1" x14ac:dyDescent="0.25">
      <c r="A47" s="137"/>
      <c r="B47" s="138"/>
      <c r="C47" s="139"/>
      <c r="D47" s="140"/>
      <c r="E47" s="141"/>
      <c r="F47" s="117" t="str">
        <f>"DO"&amp;E46&amp;"-"</f>
        <v>DO23-</v>
      </c>
      <c r="G47" s="139"/>
      <c r="H47" s="139"/>
      <c r="I47" s="55" t="s">
        <v>436</v>
      </c>
      <c r="J47" s="139"/>
      <c r="K47" s="139"/>
      <c r="L47" s="117" t="s">
        <v>376</v>
      </c>
      <c r="M47" s="117" t="s">
        <v>439</v>
      </c>
      <c r="N47" s="117" t="str">
        <f ca="1">D46&amp;"/"&amp;F47</f>
        <v>014/DO23-</v>
      </c>
      <c r="O47" s="117" t="s">
        <v>527</v>
      </c>
      <c r="P47" s="73">
        <v>20</v>
      </c>
      <c r="Q47" s="142"/>
      <c r="R47" s="151"/>
    </row>
    <row r="48" spans="1:18" ht="18" customHeight="1" x14ac:dyDescent="0.25">
      <c r="A48" s="100" t="s">
        <v>474</v>
      </c>
      <c r="B48" s="101" t="s">
        <v>379</v>
      </c>
      <c r="C48" s="102" t="s">
        <v>83</v>
      </c>
      <c r="D48" s="143" t="str" cm="1">
        <f t="array" aca="1" ref="D48" ca="1">_xlfn.LET(_xlpm.filepath,CELL("filename",D48),MID(_xlpm.filepath,FIND("]",_xlpm.filepath)+1,3))</f>
        <v>014</v>
      </c>
      <c r="E48" s="144" t="s">
        <v>137</v>
      </c>
      <c r="F48" s="104" t="str">
        <f>"DO"&amp;E48&amp;"+"</f>
        <v>DO24+</v>
      </c>
      <c r="G48" s="102" t="s">
        <v>232</v>
      </c>
      <c r="H48" s="102" t="s">
        <v>233</v>
      </c>
      <c r="I48" s="58" t="s">
        <v>437</v>
      </c>
      <c r="J48" s="102"/>
      <c r="K48" s="102"/>
      <c r="L48" s="104" t="s">
        <v>378</v>
      </c>
      <c r="M48" s="220" t="s">
        <v>439</v>
      </c>
      <c r="N48" s="104" t="str">
        <f ca="1">D48&amp;"/"&amp;F48</f>
        <v>014/DO24+</v>
      </c>
      <c r="O48" s="104" t="s">
        <v>527</v>
      </c>
      <c r="P48" s="74">
        <v>21</v>
      </c>
      <c r="Q48" s="103" t="s">
        <v>475</v>
      </c>
      <c r="R48" s="317" t="s">
        <v>91</v>
      </c>
    </row>
    <row r="49" spans="1:18" ht="18" customHeight="1" thickBot="1" x14ac:dyDescent="0.3">
      <c r="A49" s="153"/>
      <c r="B49" s="154"/>
      <c r="C49" s="155"/>
      <c r="D49" s="156"/>
      <c r="E49" s="157"/>
      <c r="F49" s="118" t="str">
        <f>"DO"&amp;E48&amp;"-"</f>
        <v>DO24-</v>
      </c>
      <c r="G49" s="155"/>
      <c r="H49" s="155"/>
      <c r="I49" s="62" t="s">
        <v>438</v>
      </c>
      <c r="J49" s="159"/>
      <c r="K49" s="155"/>
      <c r="L49" s="118" t="s">
        <v>376</v>
      </c>
      <c r="M49" s="118" t="s">
        <v>439</v>
      </c>
      <c r="N49" s="118" t="str">
        <f ca="1">D48&amp;"/"&amp;F49</f>
        <v>014/DO24-</v>
      </c>
      <c r="O49" s="118" t="s">
        <v>527</v>
      </c>
      <c r="P49" s="76">
        <v>22</v>
      </c>
      <c r="Q49" s="160"/>
      <c r="R49" s="161"/>
    </row>
    <row r="52" spans="1:18" x14ac:dyDescent="0.25">
      <c r="B52"/>
    </row>
    <row r="53" spans="1:18" x14ac:dyDescent="0.25">
      <c r="B53"/>
    </row>
    <row r="54" spans="1:18" x14ac:dyDescent="0.25">
      <c r="B54"/>
    </row>
  </sheetData>
  <pageMargins left="0.23622047244094491" right="0.23622047244094491" top="0.74803149606299213" bottom="0.74803149606299213" header="0.31496062992125984" footer="0.31496062992125984"/>
  <pageSetup paperSize="8" scale="74" orientation="landscape" verticalDpi="1200" r:id="rId1"/>
  <headerFooter scaleWithDoc="0">
    <oddHeader>&amp;CSlot/Type: &amp;A</oddHeader>
    <oddFooter>&amp;L&amp;F&amp;R&amp;P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1728-7CE8-44FA-A473-4264691F9FCC}">
  <sheetPr>
    <pageSetUpPr fitToPage="1"/>
  </sheetPr>
  <dimension ref="A1:R49"/>
  <sheetViews>
    <sheetView view="pageBreakPreview" topLeftCell="A16" zoomScaleNormal="100" zoomScaleSheetLayoutView="100" workbookViewId="0">
      <selection activeCell="M30" sqref="M30"/>
    </sheetView>
  </sheetViews>
  <sheetFormatPr defaultRowHeight="15" x14ac:dyDescent="0.25"/>
  <cols>
    <col min="1" max="1" width="21.42578125" customWidth="1"/>
    <col min="2" max="2" width="57.140625" style="13" customWidth="1"/>
    <col min="4" max="4" width="9.140625" style="51"/>
    <col min="5" max="5" width="9.140625" style="50"/>
    <col min="7" max="7" width="11.140625" customWidth="1"/>
    <col min="8" max="8" width="14.140625" customWidth="1"/>
    <col min="9" max="9" width="8.5703125" customWidth="1"/>
    <col min="10" max="10" width="17.7109375" customWidth="1"/>
    <col min="11" max="11" width="18.85546875" customWidth="1"/>
    <col min="13" max="13" width="15.7109375" bestFit="1" customWidth="1"/>
    <col min="14" max="14" width="13.28515625" customWidth="1"/>
    <col min="15" max="15" width="14.42578125" customWidth="1"/>
    <col min="16" max="16" width="7.140625" style="12" customWidth="1"/>
    <col min="17" max="17" width="8" customWidth="1"/>
    <col min="251" max="251" width="21.42578125" customWidth="1"/>
    <col min="252" max="252" width="57.140625" customWidth="1"/>
    <col min="257" max="257" width="11.140625" customWidth="1"/>
    <col min="258" max="258" width="14.140625" customWidth="1"/>
    <col min="259" max="259" width="14.42578125" customWidth="1"/>
    <col min="260" max="260" width="14.28515625" customWidth="1"/>
    <col min="262" max="267" width="13.28515625" customWidth="1"/>
    <col min="268" max="268" width="14.42578125" customWidth="1"/>
    <col min="269" max="269" width="7.140625" customWidth="1"/>
    <col min="270" max="270" width="8" customWidth="1"/>
    <col min="507" max="507" width="21.42578125" customWidth="1"/>
    <col min="508" max="508" width="57.140625" customWidth="1"/>
    <col min="513" max="513" width="11.140625" customWidth="1"/>
    <col min="514" max="514" width="14.140625" customWidth="1"/>
    <col min="515" max="515" width="14.42578125" customWidth="1"/>
    <col min="516" max="516" width="14.28515625" customWidth="1"/>
    <col min="518" max="523" width="13.28515625" customWidth="1"/>
    <col min="524" max="524" width="14.42578125" customWidth="1"/>
    <col min="525" max="525" width="7.140625" customWidth="1"/>
    <col min="526" max="526" width="8" customWidth="1"/>
    <col min="763" max="763" width="21.42578125" customWidth="1"/>
    <col min="764" max="764" width="57.140625" customWidth="1"/>
    <col min="769" max="769" width="11.140625" customWidth="1"/>
    <col min="770" max="770" width="14.140625" customWidth="1"/>
    <col min="771" max="771" width="14.42578125" customWidth="1"/>
    <col min="772" max="772" width="14.28515625" customWidth="1"/>
    <col min="774" max="779" width="13.28515625" customWidth="1"/>
    <col min="780" max="780" width="14.42578125" customWidth="1"/>
    <col min="781" max="781" width="7.140625" customWidth="1"/>
    <col min="782" max="782" width="8" customWidth="1"/>
    <col min="1019" max="1019" width="21.42578125" customWidth="1"/>
    <col min="1020" max="1020" width="57.140625" customWidth="1"/>
    <col min="1025" max="1025" width="11.140625" customWidth="1"/>
    <col min="1026" max="1026" width="14.140625" customWidth="1"/>
    <col min="1027" max="1027" width="14.42578125" customWidth="1"/>
    <col min="1028" max="1028" width="14.28515625" customWidth="1"/>
    <col min="1030" max="1035" width="13.28515625" customWidth="1"/>
    <col min="1036" max="1036" width="14.42578125" customWidth="1"/>
    <col min="1037" max="1037" width="7.140625" customWidth="1"/>
    <col min="1038" max="1038" width="8" customWidth="1"/>
    <col min="1275" max="1275" width="21.42578125" customWidth="1"/>
    <col min="1276" max="1276" width="57.140625" customWidth="1"/>
    <col min="1281" max="1281" width="11.140625" customWidth="1"/>
    <col min="1282" max="1282" width="14.140625" customWidth="1"/>
    <col min="1283" max="1283" width="14.42578125" customWidth="1"/>
    <col min="1284" max="1284" width="14.28515625" customWidth="1"/>
    <col min="1286" max="1291" width="13.28515625" customWidth="1"/>
    <col min="1292" max="1292" width="14.42578125" customWidth="1"/>
    <col min="1293" max="1293" width="7.140625" customWidth="1"/>
    <col min="1294" max="1294" width="8" customWidth="1"/>
    <col min="1531" max="1531" width="21.42578125" customWidth="1"/>
    <col min="1532" max="1532" width="57.140625" customWidth="1"/>
    <col min="1537" max="1537" width="11.140625" customWidth="1"/>
    <col min="1538" max="1538" width="14.140625" customWidth="1"/>
    <col min="1539" max="1539" width="14.42578125" customWidth="1"/>
    <col min="1540" max="1540" width="14.28515625" customWidth="1"/>
    <col min="1542" max="1547" width="13.28515625" customWidth="1"/>
    <col min="1548" max="1548" width="14.42578125" customWidth="1"/>
    <col min="1549" max="1549" width="7.140625" customWidth="1"/>
    <col min="1550" max="1550" width="8" customWidth="1"/>
    <col min="1787" max="1787" width="21.42578125" customWidth="1"/>
    <col min="1788" max="1788" width="57.140625" customWidth="1"/>
    <col min="1793" max="1793" width="11.140625" customWidth="1"/>
    <col min="1794" max="1794" width="14.140625" customWidth="1"/>
    <col min="1795" max="1795" width="14.42578125" customWidth="1"/>
    <col min="1796" max="1796" width="14.28515625" customWidth="1"/>
    <col min="1798" max="1803" width="13.28515625" customWidth="1"/>
    <col min="1804" max="1804" width="14.42578125" customWidth="1"/>
    <col min="1805" max="1805" width="7.140625" customWidth="1"/>
    <col min="1806" max="1806" width="8" customWidth="1"/>
    <col min="2043" max="2043" width="21.42578125" customWidth="1"/>
    <col min="2044" max="2044" width="57.140625" customWidth="1"/>
    <col min="2049" max="2049" width="11.140625" customWidth="1"/>
    <col min="2050" max="2050" width="14.140625" customWidth="1"/>
    <col min="2051" max="2051" width="14.42578125" customWidth="1"/>
    <col min="2052" max="2052" width="14.28515625" customWidth="1"/>
    <col min="2054" max="2059" width="13.28515625" customWidth="1"/>
    <col min="2060" max="2060" width="14.42578125" customWidth="1"/>
    <col min="2061" max="2061" width="7.140625" customWidth="1"/>
    <col min="2062" max="2062" width="8" customWidth="1"/>
    <col min="2299" max="2299" width="21.42578125" customWidth="1"/>
    <col min="2300" max="2300" width="57.140625" customWidth="1"/>
    <col min="2305" max="2305" width="11.140625" customWidth="1"/>
    <col min="2306" max="2306" width="14.140625" customWidth="1"/>
    <col min="2307" max="2307" width="14.42578125" customWidth="1"/>
    <col min="2308" max="2308" width="14.28515625" customWidth="1"/>
    <col min="2310" max="2315" width="13.28515625" customWidth="1"/>
    <col min="2316" max="2316" width="14.42578125" customWidth="1"/>
    <col min="2317" max="2317" width="7.140625" customWidth="1"/>
    <col min="2318" max="2318" width="8" customWidth="1"/>
    <col min="2555" max="2555" width="21.42578125" customWidth="1"/>
    <col min="2556" max="2556" width="57.140625" customWidth="1"/>
    <col min="2561" max="2561" width="11.140625" customWidth="1"/>
    <col min="2562" max="2562" width="14.140625" customWidth="1"/>
    <col min="2563" max="2563" width="14.42578125" customWidth="1"/>
    <col min="2564" max="2564" width="14.28515625" customWidth="1"/>
    <col min="2566" max="2571" width="13.28515625" customWidth="1"/>
    <col min="2572" max="2572" width="14.42578125" customWidth="1"/>
    <col min="2573" max="2573" width="7.140625" customWidth="1"/>
    <col min="2574" max="2574" width="8" customWidth="1"/>
    <col min="2811" max="2811" width="21.42578125" customWidth="1"/>
    <col min="2812" max="2812" width="57.140625" customWidth="1"/>
    <col min="2817" max="2817" width="11.140625" customWidth="1"/>
    <col min="2818" max="2818" width="14.140625" customWidth="1"/>
    <col min="2819" max="2819" width="14.42578125" customWidth="1"/>
    <col min="2820" max="2820" width="14.28515625" customWidth="1"/>
    <col min="2822" max="2827" width="13.28515625" customWidth="1"/>
    <col min="2828" max="2828" width="14.42578125" customWidth="1"/>
    <col min="2829" max="2829" width="7.140625" customWidth="1"/>
    <col min="2830" max="2830" width="8" customWidth="1"/>
    <col min="3067" max="3067" width="21.42578125" customWidth="1"/>
    <col min="3068" max="3068" width="57.140625" customWidth="1"/>
    <col min="3073" max="3073" width="11.140625" customWidth="1"/>
    <col min="3074" max="3074" width="14.140625" customWidth="1"/>
    <col min="3075" max="3075" width="14.42578125" customWidth="1"/>
    <col min="3076" max="3076" width="14.28515625" customWidth="1"/>
    <col min="3078" max="3083" width="13.28515625" customWidth="1"/>
    <col min="3084" max="3084" width="14.42578125" customWidth="1"/>
    <col min="3085" max="3085" width="7.140625" customWidth="1"/>
    <col min="3086" max="3086" width="8" customWidth="1"/>
    <col min="3323" max="3323" width="21.42578125" customWidth="1"/>
    <col min="3324" max="3324" width="57.140625" customWidth="1"/>
    <col min="3329" max="3329" width="11.140625" customWidth="1"/>
    <col min="3330" max="3330" width="14.140625" customWidth="1"/>
    <col min="3331" max="3331" width="14.42578125" customWidth="1"/>
    <col min="3332" max="3332" width="14.28515625" customWidth="1"/>
    <col min="3334" max="3339" width="13.28515625" customWidth="1"/>
    <col min="3340" max="3340" width="14.42578125" customWidth="1"/>
    <col min="3341" max="3341" width="7.140625" customWidth="1"/>
    <col min="3342" max="3342" width="8" customWidth="1"/>
    <col min="3579" max="3579" width="21.42578125" customWidth="1"/>
    <col min="3580" max="3580" width="57.140625" customWidth="1"/>
    <col min="3585" max="3585" width="11.140625" customWidth="1"/>
    <col min="3586" max="3586" width="14.140625" customWidth="1"/>
    <col min="3587" max="3587" width="14.42578125" customWidth="1"/>
    <col min="3588" max="3588" width="14.28515625" customWidth="1"/>
    <col min="3590" max="3595" width="13.28515625" customWidth="1"/>
    <col min="3596" max="3596" width="14.42578125" customWidth="1"/>
    <col min="3597" max="3597" width="7.140625" customWidth="1"/>
    <col min="3598" max="3598" width="8" customWidth="1"/>
    <col min="3835" max="3835" width="21.42578125" customWidth="1"/>
    <col min="3836" max="3836" width="57.140625" customWidth="1"/>
    <col min="3841" max="3841" width="11.140625" customWidth="1"/>
    <col min="3842" max="3842" width="14.140625" customWidth="1"/>
    <col min="3843" max="3843" width="14.42578125" customWidth="1"/>
    <col min="3844" max="3844" width="14.28515625" customWidth="1"/>
    <col min="3846" max="3851" width="13.28515625" customWidth="1"/>
    <col min="3852" max="3852" width="14.42578125" customWidth="1"/>
    <col min="3853" max="3853" width="7.140625" customWidth="1"/>
    <col min="3854" max="3854" width="8" customWidth="1"/>
    <col min="4091" max="4091" width="21.42578125" customWidth="1"/>
    <col min="4092" max="4092" width="57.140625" customWidth="1"/>
    <col min="4097" max="4097" width="11.140625" customWidth="1"/>
    <col min="4098" max="4098" width="14.140625" customWidth="1"/>
    <col min="4099" max="4099" width="14.42578125" customWidth="1"/>
    <col min="4100" max="4100" width="14.28515625" customWidth="1"/>
    <col min="4102" max="4107" width="13.28515625" customWidth="1"/>
    <col min="4108" max="4108" width="14.42578125" customWidth="1"/>
    <col min="4109" max="4109" width="7.140625" customWidth="1"/>
    <col min="4110" max="4110" width="8" customWidth="1"/>
    <col min="4347" max="4347" width="21.42578125" customWidth="1"/>
    <col min="4348" max="4348" width="57.140625" customWidth="1"/>
    <col min="4353" max="4353" width="11.140625" customWidth="1"/>
    <col min="4354" max="4354" width="14.140625" customWidth="1"/>
    <col min="4355" max="4355" width="14.42578125" customWidth="1"/>
    <col min="4356" max="4356" width="14.28515625" customWidth="1"/>
    <col min="4358" max="4363" width="13.28515625" customWidth="1"/>
    <col min="4364" max="4364" width="14.42578125" customWidth="1"/>
    <col min="4365" max="4365" width="7.140625" customWidth="1"/>
    <col min="4366" max="4366" width="8" customWidth="1"/>
    <col min="4603" max="4603" width="21.42578125" customWidth="1"/>
    <col min="4604" max="4604" width="57.140625" customWidth="1"/>
    <col min="4609" max="4609" width="11.140625" customWidth="1"/>
    <col min="4610" max="4610" width="14.140625" customWidth="1"/>
    <col min="4611" max="4611" width="14.42578125" customWidth="1"/>
    <col min="4612" max="4612" width="14.28515625" customWidth="1"/>
    <col min="4614" max="4619" width="13.28515625" customWidth="1"/>
    <col min="4620" max="4620" width="14.42578125" customWidth="1"/>
    <col min="4621" max="4621" width="7.140625" customWidth="1"/>
    <col min="4622" max="4622" width="8" customWidth="1"/>
    <col min="4859" max="4859" width="21.42578125" customWidth="1"/>
    <col min="4860" max="4860" width="57.140625" customWidth="1"/>
    <col min="4865" max="4865" width="11.140625" customWidth="1"/>
    <col min="4866" max="4866" width="14.140625" customWidth="1"/>
    <col min="4867" max="4867" width="14.42578125" customWidth="1"/>
    <col min="4868" max="4868" width="14.28515625" customWidth="1"/>
    <col min="4870" max="4875" width="13.28515625" customWidth="1"/>
    <col min="4876" max="4876" width="14.42578125" customWidth="1"/>
    <col min="4877" max="4877" width="7.140625" customWidth="1"/>
    <col min="4878" max="4878" width="8" customWidth="1"/>
    <col min="5115" max="5115" width="21.42578125" customWidth="1"/>
    <col min="5116" max="5116" width="57.140625" customWidth="1"/>
    <col min="5121" max="5121" width="11.140625" customWidth="1"/>
    <col min="5122" max="5122" width="14.140625" customWidth="1"/>
    <col min="5123" max="5123" width="14.42578125" customWidth="1"/>
    <col min="5124" max="5124" width="14.28515625" customWidth="1"/>
    <col min="5126" max="5131" width="13.28515625" customWidth="1"/>
    <col min="5132" max="5132" width="14.42578125" customWidth="1"/>
    <col min="5133" max="5133" width="7.140625" customWidth="1"/>
    <col min="5134" max="5134" width="8" customWidth="1"/>
    <col min="5371" max="5371" width="21.42578125" customWidth="1"/>
    <col min="5372" max="5372" width="57.140625" customWidth="1"/>
    <col min="5377" max="5377" width="11.140625" customWidth="1"/>
    <col min="5378" max="5378" width="14.140625" customWidth="1"/>
    <col min="5379" max="5379" width="14.42578125" customWidth="1"/>
    <col min="5380" max="5380" width="14.28515625" customWidth="1"/>
    <col min="5382" max="5387" width="13.28515625" customWidth="1"/>
    <col min="5388" max="5388" width="14.42578125" customWidth="1"/>
    <col min="5389" max="5389" width="7.140625" customWidth="1"/>
    <col min="5390" max="5390" width="8" customWidth="1"/>
    <col min="5627" max="5627" width="21.42578125" customWidth="1"/>
    <col min="5628" max="5628" width="57.140625" customWidth="1"/>
    <col min="5633" max="5633" width="11.140625" customWidth="1"/>
    <col min="5634" max="5634" width="14.140625" customWidth="1"/>
    <col min="5635" max="5635" width="14.42578125" customWidth="1"/>
    <col min="5636" max="5636" width="14.28515625" customWidth="1"/>
    <col min="5638" max="5643" width="13.28515625" customWidth="1"/>
    <col min="5644" max="5644" width="14.42578125" customWidth="1"/>
    <col min="5645" max="5645" width="7.140625" customWidth="1"/>
    <col min="5646" max="5646" width="8" customWidth="1"/>
    <col min="5883" max="5883" width="21.42578125" customWidth="1"/>
    <col min="5884" max="5884" width="57.140625" customWidth="1"/>
    <col min="5889" max="5889" width="11.140625" customWidth="1"/>
    <col min="5890" max="5890" width="14.140625" customWidth="1"/>
    <col min="5891" max="5891" width="14.42578125" customWidth="1"/>
    <col min="5892" max="5892" width="14.28515625" customWidth="1"/>
    <col min="5894" max="5899" width="13.28515625" customWidth="1"/>
    <col min="5900" max="5900" width="14.42578125" customWidth="1"/>
    <col min="5901" max="5901" width="7.140625" customWidth="1"/>
    <col min="5902" max="5902" width="8" customWidth="1"/>
    <col min="6139" max="6139" width="21.42578125" customWidth="1"/>
    <col min="6140" max="6140" width="57.140625" customWidth="1"/>
    <col min="6145" max="6145" width="11.140625" customWidth="1"/>
    <col min="6146" max="6146" width="14.140625" customWidth="1"/>
    <col min="6147" max="6147" width="14.42578125" customWidth="1"/>
    <col min="6148" max="6148" width="14.28515625" customWidth="1"/>
    <col min="6150" max="6155" width="13.28515625" customWidth="1"/>
    <col min="6156" max="6156" width="14.42578125" customWidth="1"/>
    <col min="6157" max="6157" width="7.140625" customWidth="1"/>
    <col min="6158" max="6158" width="8" customWidth="1"/>
    <col min="6395" max="6395" width="21.42578125" customWidth="1"/>
    <col min="6396" max="6396" width="57.140625" customWidth="1"/>
    <col min="6401" max="6401" width="11.140625" customWidth="1"/>
    <col min="6402" max="6402" width="14.140625" customWidth="1"/>
    <col min="6403" max="6403" width="14.42578125" customWidth="1"/>
    <col min="6404" max="6404" width="14.28515625" customWidth="1"/>
    <col min="6406" max="6411" width="13.28515625" customWidth="1"/>
    <col min="6412" max="6412" width="14.42578125" customWidth="1"/>
    <col min="6413" max="6413" width="7.140625" customWidth="1"/>
    <col min="6414" max="6414" width="8" customWidth="1"/>
    <col min="6651" max="6651" width="21.42578125" customWidth="1"/>
    <col min="6652" max="6652" width="57.140625" customWidth="1"/>
    <col min="6657" max="6657" width="11.140625" customWidth="1"/>
    <col min="6658" max="6658" width="14.140625" customWidth="1"/>
    <col min="6659" max="6659" width="14.42578125" customWidth="1"/>
    <col min="6660" max="6660" width="14.28515625" customWidth="1"/>
    <col min="6662" max="6667" width="13.28515625" customWidth="1"/>
    <col min="6668" max="6668" width="14.42578125" customWidth="1"/>
    <col min="6669" max="6669" width="7.140625" customWidth="1"/>
    <col min="6670" max="6670" width="8" customWidth="1"/>
    <col min="6907" max="6907" width="21.42578125" customWidth="1"/>
    <col min="6908" max="6908" width="57.140625" customWidth="1"/>
    <col min="6913" max="6913" width="11.140625" customWidth="1"/>
    <col min="6914" max="6914" width="14.140625" customWidth="1"/>
    <col min="6915" max="6915" width="14.42578125" customWidth="1"/>
    <col min="6916" max="6916" width="14.28515625" customWidth="1"/>
    <col min="6918" max="6923" width="13.28515625" customWidth="1"/>
    <col min="6924" max="6924" width="14.42578125" customWidth="1"/>
    <col min="6925" max="6925" width="7.140625" customWidth="1"/>
    <col min="6926" max="6926" width="8" customWidth="1"/>
    <col min="7163" max="7163" width="21.42578125" customWidth="1"/>
    <col min="7164" max="7164" width="57.140625" customWidth="1"/>
    <col min="7169" max="7169" width="11.140625" customWidth="1"/>
    <col min="7170" max="7170" width="14.140625" customWidth="1"/>
    <col min="7171" max="7171" width="14.42578125" customWidth="1"/>
    <col min="7172" max="7172" width="14.28515625" customWidth="1"/>
    <col min="7174" max="7179" width="13.28515625" customWidth="1"/>
    <col min="7180" max="7180" width="14.42578125" customWidth="1"/>
    <col min="7181" max="7181" width="7.140625" customWidth="1"/>
    <col min="7182" max="7182" width="8" customWidth="1"/>
    <col min="7419" max="7419" width="21.42578125" customWidth="1"/>
    <col min="7420" max="7420" width="57.140625" customWidth="1"/>
    <col min="7425" max="7425" width="11.140625" customWidth="1"/>
    <col min="7426" max="7426" width="14.140625" customWidth="1"/>
    <col min="7427" max="7427" width="14.42578125" customWidth="1"/>
    <col min="7428" max="7428" width="14.28515625" customWidth="1"/>
    <col min="7430" max="7435" width="13.28515625" customWidth="1"/>
    <col min="7436" max="7436" width="14.42578125" customWidth="1"/>
    <col min="7437" max="7437" width="7.140625" customWidth="1"/>
    <col min="7438" max="7438" width="8" customWidth="1"/>
    <col min="7675" max="7675" width="21.42578125" customWidth="1"/>
    <col min="7676" max="7676" width="57.140625" customWidth="1"/>
    <col min="7681" max="7681" width="11.140625" customWidth="1"/>
    <col min="7682" max="7682" width="14.140625" customWidth="1"/>
    <col min="7683" max="7683" width="14.42578125" customWidth="1"/>
    <col min="7684" max="7684" width="14.28515625" customWidth="1"/>
    <col min="7686" max="7691" width="13.28515625" customWidth="1"/>
    <col min="7692" max="7692" width="14.42578125" customWidth="1"/>
    <col min="7693" max="7693" width="7.140625" customWidth="1"/>
    <col min="7694" max="7694" width="8" customWidth="1"/>
    <col min="7931" max="7931" width="21.42578125" customWidth="1"/>
    <col min="7932" max="7932" width="57.140625" customWidth="1"/>
    <col min="7937" max="7937" width="11.140625" customWidth="1"/>
    <col min="7938" max="7938" width="14.140625" customWidth="1"/>
    <col min="7939" max="7939" width="14.42578125" customWidth="1"/>
    <col min="7940" max="7940" width="14.28515625" customWidth="1"/>
    <col min="7942" max="7947" width="13.28515625" customWidth="1"/>
    <col min="7948" max="7948" width="14.42578125" customWidth="1"/>
    <col min="7949" max="7949" width="7.140625" customWidth="1"/>
    <col min="7950" max="7950" width="8" customWidth="1"/>
    <col min="8187" max="8187" width="21.42578125" customWidth="1"/>
    <col min="8188" max="8188" width="57.140625" customWidth="1"/>
    <col min="8193" max="8193" width="11.140625" customWidth="1"/>
    <col min="8194" max="8194" width="14.140625" customWidth="1"/>
    <col min="8195" max="8195" width="14.42578125" customWidth="1"/>
    <col min="8196" max="8196" width="14.28515625" customWidth="1"/>
    <col min="8198" max="8203" width="13.28515625" customWidth="1"/>
    <col min="8204" max="8204" width="14.42578125" customWidth="1"/>
    <col min="8205" max="8205" width="7.140625" customWidth="1"/>
    <col min="8206" max="8206" width="8" customWidth="1"/>
    <col min="8443" max="8443" width="21.42578125" customWidth="1"/>
    <col min="8444" max="8444" width="57.140625" customWidth="1"/>
    <col min="8449" max="8449" width="11.140625" customWidth="1"/>
    <col min="8450" max="8450" width="14.140625" customWidth="1"/>
    <col min="8451" max="8451" width="14.42578125" customWidth="1"/>
    <col min="8452" max="8452" width="14.28515625" customWidth="1"/>
    <col min="8454" max="8459" width="13.28515625" customWidth="1"/>
    <col min="8460" max="8460" width="14.42578125" customWidth="1"/>
    <col min="8461" max="8461" width="7.140625" customWidth="1"/>
    <col min="8462" max="8462" width="8" customWidth="1"/>
    <col min="8699" max="8699" width="21.42578125" customWidth="1"/>
    <col min="8700" max="8700" width="57.140625" customWidth="1"/>
    <col min="8705" max="8705" width="11.140625" customWidth="1"/>
    <col min="8706" max="8706" width="14.140625" customWidth="1"/>
    <col min="8707" max="8707" width="14.42578125" customWidth="1"/>
    <col min="8708" max="8708" width="14.28515625" customWidth="1"/>
    <col min="8710" max="8715" width="13.28515625" customWidth="1"/>
    <col min="8716" max="8716" width="14.42578125" customWidth="1"/>
    <col min="8717" max="8717" width="7.140625" customWidth="1"/>
    <col min="8718" max="8718" width="8" customWidth="1"/>
    <col min="8955" max="8955" width="21.42578125" customWidth="1"/>
    <col min="8956" max="8956" width="57.140625" customWidth="1"/>
    <col min="8961" max="8961" width="11.140625" customWidth="1"/>
    <col min="8962" max="8962" width="14.140625" customWidth="1"/>
    <col min="8963" max="8963" width="14.42578125" customWidth="1"/>
    <col min="8964" max="8964" width="14.28515625" customWidth="1"/>
    <col min="8966" max="8971" width="13.28515625" customWidth="1"/>
    <col min="8972" max="8972" width="14.42578125" customWidth="1"/>
    <col min="8973" max="8973" width="7.140625" customWidth="1"/>
    <col min="8974" max="8974" width="8" customWidth="1"/>
    <col min="9211" max="9211" width="21.42578125" customWidth="1"/>
    <col min="9212" max="9212" width="57.140625" customWidth="1"/>
    <col min="9217" max="9217" width="11.140625" customWidth="1"/>
    <col min="9218" max="9218" width="14.140625" customWidth="1"/>
    <col min="9219" max="9219" width="14.42578125" customWidth="1"/>
    <col min="9220" max="9220" width="14.28515625" customWidth="1"/>
    <col min="9222" max="9227" width="13.28515625" customWidth="1"/>
    <col min="9228" max="9228" width="14.42578125" customWidth="1"/>
    <col min="9229" max="9229" width="7.140625" customWidth="1"/>
    <col min="9230" max="9230" width="8" customWidth="1"/>
    <col min="9467" max="9467" width="21.42578125" customWidth="1"/>
    <col min="9468" max="9468" width="57.140625" customWidth="1"/>
    <col min="9473" max="9473" width="11.140625" customWidth="1"/>
    <col min="9474" max="9474" width="14.140625" customWidth="1"/>
    <col min="9475" max="9475" width="14.42578125" customWidth="1"/>
    <col min="9476" max="9476" width="14.28515625" customWidth="1"/>
    <col min="9478" max="9483" width="13.28515625" customWidth="1"/>
    <col min="9484" max="9484" width="14.42578125" customWidth="1"/>
    <col min="9485" max="9485" width="7.140625" customWidth="1"/>
    <col min="9486" max="9486" width="8" customWidth="1"/>
    <col min="9723" max="9723" width="21.42578125" customWidth="1"/>
    <col min="9724" max="9724" width="57.140625" customWidth="1"/>
    <col min="9729" max="9729" width="11.140625" customWidth="1"/>
    <col min="9730" max="9730" width="14.140625" customWidth="1"/>
    <col min="9731" max="9731" width="14.42578125" customWidth="1"/>
    <col min="9732" max="9732" width="14.28515625" customWidth="1"/>
    <col min="9734" max="9739" width="13.28515625" customWidth="1"/>
    <col min="9740" max="9740" width="14.42578125" customWidth="1"/>
    <col min="9741" max="9741" width="7.140625" customWidth="1"/>
    <col min="9742" max="9742" width="8" customWidth="1"/>
    <col min="9979" max="9979" width="21.42578125" customWidth="1"/>
    <col min="9980" max="9980" width="57.140625" customWidth="1"/>
    <col min="9985" max="9985" width="11.140625" customWidth="1"/>
    <col min="9986" max="9986" width="14.140625" customWidth="1"/>
    <col min="9987" max="9987" width="14.42578125" customWidth="1"/>
    <col min="9988" max="9988" width="14.28515625" customWidth="1"/>
    <col min="9990" max="9995" width="13.28515625" customWidth="1"/>
    <col min="9996" max="9996" width="14.42578125" customWidth="1"/>
    <col min="9997" max="9997" width="7.140625" customWidth="1"/>
    <col min="9998" max="9998" width="8" customWidth="1"/>
    <col min="10235" max="10235" width="21.42578125" customWidth="1"/>
    <col min="10236" max="10236" width="57.140625" customWidth="1"/>
    <col min="10241" max="10241" width="11.140625" customWidth="1"/>
    <col min="10242" max="10242" width="14.140625" customWidth="1"/>
    <col min="10243" max="10243" width="14.42578125" customWidth="1"/>
    <col min="10244" max="10244" width="14.28515625" customWidth="1"/>
    <col min="10246" max="10251" width="13.28515625" customWidth="1"/>
    <col min="10252" max="10252" width="14.42578125" customWidth="1"/>
    <col min="10253" max="10253" width="7.140625" customWidth="1"/>
    <col min="10254" max="10254" width="8" customWidth="1"/>
    <col min="10491" max="10491" width="21.42578125" customWidth="1"/>
    <col min="10492" max="10492" width="57.140625" customWidth="1"/>
    <col min="10497" max="10497" width="11.140625" customWidth="1"/>
    <col min="10498" max="10498" width="14.140625" customWidth="1"/>
    <col min="10499" max="10499" width="14.42578125" customWidth="1"/>
    <col min="10500" max="10500" width="14.28515625" customWidth="1"/>
    <col min="10502" max="10507" width="13.28515625" customWidth="1"/>
    <col min="10508" max="10508" width="14.42578125" customWidth="1"/>
    <col min="10509" max="10509" width="7.140625" customWidth="1"/>
    <col min="10510" max="10510" width="8" customWidth="1"/>
    <col min="10747" max="10747" width="21.42578125" customWidth="1"/>
    <col min="10748" max="10748" width="57.140625" customWidth="1"/>
    <col min="10753" max="10753" width="11.140625" customWidth="1"/>
    <col min="10754" max="10754" width="14.140625" customWidth="1"/>
    <col min="10755" max="10755" width="14.42578125" customWidth="1"/>
    <col min="10756" max="10756" width="14.28515625" customWidth="1"/>
    <col min="10758" max="10763" width="13.28515625" customWidth="1"/>
    <col min="10764" max="10764" width="14.42578125" customWidth="1"/>
    <col min="10765" max="10765" width="7.140625" customWidth="1"/>
    <col min="10766" max="10766" width="8" customWidth="1"/>
    <col min="11003" max="11003" width="21.42578125" customWidth="1"/>
    <col min="11004" max="11004" width="57.140625" customWidth="1"/>
    <col min="11009" max="11009" width="11.140625" customWidth="1"/>
    <col min="11010" max="11010" width="14.140625" customWidth="1"/>
    <col min="11011" max="11011" width="14.42578125" customWidth="1"/>
    <col min="11012" max="11012" width="14.28515625" customWidth="1"/>
    <col min="11014" max="11019" width="13.28515625" customWidth="1"/>
    <col min="11020" max="11020" width="14.42578125" customWidth="1"/>
    <col min="11021" max="11021" width="7.140625" customWidth="1"/>
    <col min="11022" max="11022" width="8" customWidth="1"/>
    <col min="11259" max="11259" width="21.42578125" customWidth="1"/>
    <col min="11260" max="11260" width="57.140625" customWidth="1"/>
    <col min="11265" max="11265" width="11.140625" customWidth="1"/>
    <col min="11266" max="11266" width="14.140625" customWidth="1"/>
    <col min="11267" max="11267" width="14.42578125" customWidth="1"/>
    <col min="11268" max="11268" width="14.28515625" customWidth="1"/>
    <col min="11270" max="11275" width="13.28515625" customWidth="1"/>
    <col min="11276" max="11276" width="14.42578125" customWidth="1"/>
    <col min="11277" max="11277" width="7.140625" customWidth="1"/>
    <col min="11278" max="11278" width="8" customWidth="1"/>
    <col min="11515" max="11515" width="21.42578125" customWidth="1"/>
    <col min="11516" max="11516" width="57.140625" customWidth="1"/>
    <col min="11521" max="11521" width="11.140625" customWidth="1"/>
    <col min="11522" max="11522" width="14.140625" customWidth="1"/>
    <col min="11523" max="11523" width="14.42578125" customWidth="1"/>
    <col min="11524" max="11524" width="14.28515625" customWidth="1"/>
    <col min="11526" max="11531" width="13.28515625" customWidth="1"/>
    <col min="11532" max="11532" width="14.42578125" customWidth="1"/>
    <col min="11533" max="11533" width="7.140625" customWidth="1"/>
    <col min="11534" max="11534" width="8" customWidth="1"/>
    <col min="11771" max="11771" width="21.42578125" customWidth="1"/>
    <col min="11772" max="11772" width="57.140625" customWidth="1"/>
    <col min="11777" max="11777" width="11.140625" customWidth="1"/>
    <col min="11778" max="11778" width="14.140625" customWidth="1"/>
    <col min="11779" max="11779" width="14.42578125" customWidth="1"/>
    <col min="11780" max="11780" width="14.28515625" customWidth="1"/>
    <col min="11782" max="11787" width="13.28515625" customWidth="1"/>
    <col min="11788" max="11788" width="14.42578125" customWidth="1"/>
    <col min="11789" max="11789" width="7.140625" customWidth="1"/>
    <col min="11790" max="11790" width="8" customWidth="1"/>
    <col min="12027" max="12027" width="21.42578125" customWidth="1"/>
    <col min="12028" max="12028" width="57.140625" customWidth="1"/>
    <col min="12033" max="12033" width="11.140625" customWidth="1"/>
    <col min="12034" max="12034" width="14.140625" customWidth="1"/>
    <col min="12035" max="12035" width="14.42578125" customWidth="1"/>
    <col min="12036" max="12036" width="14.28515625" customWidth="1"/>
    <col min="12038" max="12043" width="13.28515625" customWidth="1"/>
    <col min="12044" max="12044" width="14.42578125" customWidth="1"/>
    <col min="12045" max="12045" width="7.140625" customWidth="1"/>
    <col min="12046" max="12046" width="8" customWidth="1"/>
    <col min="12283" max="12283" width="21.42578125" customWidth="1"/>
    <col min="12284" max="12284" width="57.140625" customWidth="1"/>
    <col min="12289" max="12289" width="11.140625" customWidth="1"/>
    <col min="12290" max="12290" width="14.140625" customWidth="1"/>
    <col min="12291" max="12291" width="14.42578125" customWidth="1"/>
    <col min="12292" max="12292" width="14.28515625" customWidth="1"/>
    <col min="12294" max="12299" width="13.28515625" customWidth="1"/>
    <col min="12300" max="12300" width="14.42578125" customWidth="1"/>
    <col min="12301" max="12301" width="7.140625" customWidth="1"/>
    <col min="12302" max="12302" width="8" customWidth="1"/>
    <col min="12539" max="12539" width="21.42578125" customWidth="1"/>
    <col min="12540" max="12540" width="57.140625" customWidth="1"/>
    <col min="12545" max="12545" width="11.140625" customWidth="1"/>
    <col min="12546" max="12546" width="14.140625" customWidth="1"/>
    <col min="12547" max="12547" width="14.42578125" customWidth="1"/>
    <col min="12548" max="12548" width="14.28515625" customWidth="1"/>
    <col min="12550" max="12555" width="13.28515625" customWidth="1"/>
    <col min="12556" max="12556" width="14.42578125" customWidth="1"/>
    <col min="12557" max="12557" width="7.140625" customWidth="1"/>
    <col min="12558" max="12558" width="8" customWidth="1"/>
    <col min="12795" max="12795" width="21.42578125" customWidth="1"/>
    <col min="12796" max="12796" width="57.140625" customWidth="1"/>
    <col min="12801" max="12801" width="11.140625" customWidth="1"/>
    <col min="12802" max="12802" width="14.140625" customWidth="1"/>
    <col min="12803" max="12803" width="14.42578125" customWidth="1"/>
    <col min="12804" max="12804" width="14.28515625" customWidth="1"/>
    <col min="12806" max="12811" width="13.28515625" customWidth="1"/>
    <col min="12812" max="12812" width="14.42578125" customWidth="1"/>
    <col min="12813" max="12813" width="7.140625" customWidth="1"/>
    <col min="12814" max="12814" width="8" customWidth="1"/>
    <col min="13051" max="13051" width="21.42578125" customWidth="1"/>
    <col min="13052" max="13052" width="57.140625" customWidth="1"/>
    <col min="13057" max="13057" width="11.140625" customWidth="1"/>
    <col min="13058" max="13058" width="14.140625" customWidth="1"/>
    <col min="13059" max="13059" width="14.42578125" customWidth="1"/>
    <col min="13060" max="13060" width="14.28515625" customWidth="1"/>
    <col min="13062" max="13067" width="13.28515625" customWidth="1"/>
    <col min="13068" max="13068" width="14.42578125" customWidth="1"/>
    <col min="13069" max="13069" width="7.140625" customWidth="1"/>
    <col min="13070" max="13070" width="8" customWidth="1"/>
    <col min="13307" max="13307" width="21.42578125" customWidth="1"/>
    <col min="13308" max="13308" width="57.140625" customWidth="1"/>
    <col min="13313" max="13313" width="11.140625" customWidth="1"/>
    <col min="13314" max="13314" width="14.140625" customWidth="1"/>
    <col min="13315" max="13315" width="14.42578125" customWidth="1"/>
    <col min="13316" max="13316" width="14.28515625" customWidth="1"/>
    <col min="13318" max="13323" width="13.28515625" customWidth="1"/>
    <col min="13324" max="13324" width="14.42578125" customWidth="1"/>
    <col min="13325" max="13325" width="7.140625" customWidth="1"/>
    <col min="13326" max="13326" width="8" customWidth="1"/>
    <col min="13563" max="13563" width="21.42578125" customWidth="1"/>
    <col min="13564" max="13564" width="57.140625" customWidth="1"/>
    <col min="13569" max="13569" width="11.140625" customWidth="1"/>
    <col min="13570" max="13570" width="14.140625" customWidth="1"/>
    <col min="13571" max="13571" width="14.42578125" customWidth="1"/>
    <col min="13572" max="13572" width="14.28515625" customWidth="1"/>
    <col min="13574" max="13579" width="13.28515625" customWidth="1"/>
    <col min="13580" max="13580" width="14.42578125" customWidth="1"/>
    <col min="13581" max="13581" width="7.140625" customWidth="1"/>
    <col min="13582" max="13582" width="8" customWidth="1"/>
    <col min="13819" max="13819" width="21.42578125" customWidth="1"/>
    <col min="13820" max="13820" width="57.140625" customWidth="1"/>
    <col min="13825" max="13825" width="11.140625" customWidth="1"/>
    <col min="13826" max="13826" width="14.140625" customWidth="1"/>
    <col min="13827" max="13827" width="14.42578125" customWidth="1"/>
    <col min="13828" max="13828" width="14.28515625" customWidth="1"/>
    <col min="13830" max="13835" width="13.28515625" customWidth="1"/>
    <col min="13836" max="13836" width="14.42578125" customWidth="1"/>
    <col min="13837" max="13837" width="7.140625" customWidth="1"/>
    <col min="13838" max="13838" width="8" customWidth="1"/>
    <col min="14075" max="14075" width="21.42578125" customWidth="1"/>
    <col min="14076" max="14076" width="57.140625" customWidth="1"/>
    <col min="14081" max="14081" width="11.140625" customWidth="1"/>
    <col min="14082" max="14082" width="14.140625" customWidth="1"/>
    <col min="14083" max="14083" width="14.42578125" customWidth="1"/>
    <col min="14084" max="14084" width="14.28515625" customWidth="1"/>
    <col min="14086" max="14091" width="13.28515625" customWidth="1"/>
    <col min="14092" max="14092" width="14.42578125" customWidth="1"/>
    <col min="14093" max="14093" width="7.140625" customWidth="1"/>
    <col min="14094" max="14094" width="8" customWidth="1"/>
    <col min="14331" max="14331" width="21.42578125" customWidth="1"/>
    <col min="14332" max="14332" width="57.140625" customWidth="1"/>
    <col min="14337" max="14337" width="11.140625" customWidth="1"/>
    <col min="14338" max="14338" width="14.140625" customWidth="1"/>
    <col min="14339" max="14339" width="14.42578125" customWidth="1"/>
    <col min="14340" max="14340" width="14.28515625" customWidth="1"/>
    <col min="14342" max="14347" width="13.28515625" customWidth="1"/>
    <col min="14348" max="14348" width="14.42578125" customWidth="1"/>
    <col min="14349" max="14349" width="7.140625" customWidth="1"/>
    <col min="14350" max="14350" width="8" customWidth="1"/>
    <col min="14587" max="14587" width="21.42578125" customWidth="1"/>
    <col min="14588" max="14588" width="57.140625" customWidth="1"/>
    <col min="14593" max="14593" width="11.140625" customWidth="1"/>
    <col min="14594" max="14594" width="14.140625" customWidth="1"/>
    <col min="14595" max="14595" width="14.42578125" customWidth="1"/>
    <col min="14596" max="14596" width="14.28515625" customWidth="1"/>
    <col min="14598" max="14603" width="13.28515625" customWidth="1"/>
    <col min="14604" max="14604" width="14.42578125" customWidth="1"/>
    <col min="14605" max="14605" width="7.140625" customWidth="1"/>
    <col min="14606" max="14606" width="8" customWidth="1"/>
    <col min="14843" max="14843" width="21.42578125" customWidth="1"/>
    <col min="14844" max="14844" width="57.140625" customWidth="1"/>
    <col min="14849" max="14849" width="11.140625" customWidth="1"/>
    <col min="14850" max="14850" width="14.140625" customWidth="1"/>
    <col min="14851" max="14851" width="14.42578125" customWidth="1"/>
    <col min="14852" max="14852" width="14.28515625" customWidth="1"/>
    <col min="14854" max="14859" width="13.28515625" customWidth="1"/>
    <col min="14860" max="14860" width="14.42578125" customWidth="1"/>
    <col min="14861" max="14861" width="7.140625" customWidth="1"/>
    <col min="14862" max="14862" width="8" customWidth="1"/>
    <col min="15099" max="15099" width="21.42578125" customWidth="1"/>
    <col min="15100" max="15100" width="57.140625" customWidth="1"/>
    <col min="15105" max="15105" width="11.140625" customWidth="1"/>
    <col min="15106" max="15106" width="14.140625" customWidth="1"/>
    <col min="15107" max="15107" width="14.42578125" customWidth="1"/>
    <col min="15108" max="15108" width="14.28515625" customWidth="1"/>
    <col min="15110" max="15115" width="13.28515625" customWidth="1"/>
    <col min="15116" max="15116" width="14.42578125" customWidth="1"/>
    <col min="15117" max="15117" width="7.140625" customWidth="1"/>
    <col min="15118" max="15118" width="8" customWidth="1"/>
    <col min="15355" max="15355" width="21.42578125" customWidth="1"/>
    <col min="15356" max="15356" width="57.140625" customWidth="1"/>
    <col min="15361" max="15361" width="11.140625" customWidth="1"/>
    <col min="15362" max="15362" width="14.140625" customWidth="1"/>
    <col min="15363" max="15363" width="14.42578125" customWidth="1"/>
    <col min="15364" max="15364" width="14.28515625" customWidth="1"/>
    <col min="15366" max="15371" width="13.28515625" customWidth="1"/>
    <col min="15372" max="15372" width="14.42578125" customWidth="1"/>
    <col min="15373" max="15373" width="7.140625" customWidth="1"/>
    <col min="15374" max="15374" width="8" customWidth="1"/>
    <col min="15611" max="15611" width="21.42578125" customWidth="1"/>
    <col min="15612" max="15612" width="57.140625" customWidth="1"/>
    <col min="15617" max="15617" width="11.140625" customWidth="1"/>
    <col min="15618" max="15618" width="14.140625" customWidth="1"/>
    <col min="15619" max="15619" width="14.42578125" customWidth="1"/>
    <col min="15620" max="15620" width="14.28515625" customWidth="1"/>
    <col min="15622" max="15627" width="13.28515625" customWidth="1"/>
    <col min="15628" max="15628" width="14.42578125" customWidth="1"/>
    <col min="15629" max="15629" width="7.140625" customWidth="1"/>
    <col min="15630" max="15630" width="8" customWidth="1"/>
    <col min="15867" max="15867" width="21.42578125" customWidth="1"/>
    <col min="15868" max="15868" width="57.140625" customWidth="1"/>
    <col min="15873" max="15873" width="11.140625" customWidth="1"/>
    <col min="15874" max="15874" width="14.140625" customWidth="1"/>
    <col min="15875" max="15875" width="14.42578125" customWidth="1"/>
    <col min="15876" max="15876" width="14.28515625" customWidth="1"/>
    <col min="15878" max="15883" width="13.28515625" customWidth="1"/>
    <col min="15884" max="15884" width="14.42578125" customWidth="1"/>
    <col min="15885" max="15885" width="7.140625" customWidth="1"/>
    <col min="15886" max="15886" width="8" customWidth="1"/>
    <col min="16123" max="16123" width="21.42578125" customWidth="1"/>
    <col min="16124" max="16124" width="57.140625" customWidth="1"/>
    <col min="16129" max="16129" width="11.140625" customWidth="1"/>
    <col min="16130" max="16130" width="14.140625" customWidth="1"/>
    <col min="16131" max="16131" width="14.42578125" customWidth="1"/>
    <col min="16132" max="16132" width="14.28515625" customWidth="1"/>
    <col min="16134" max="16139" width="13.28515625" customWidth="1"/>
    <col min="16140" max="16140" width="14.42578125" customWidth="1"/>
    <col min="16141" max="16141" width="7.140625" customWidth="1"/>
    <col min="16142" max="16142" width="8" customWidth="1"/>
  </cols>
  <sheetData>
    <row r="1" spans="1:18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131" t="s">
        <v>29</v>
      </c>
      <c r="H1" s="131" t="s">
        <v>478</v>
      </c>
      <c r="I1" s="64" t="s">
        <v>388</v>
      </c>
      <c r="J1" s="131" t="s">
        <v>44</v>
      </c>
      <c r="K1" s="131" t="s">
        <v>45</v>
      </c>
      <c r="L1" s="131" t="s">
        <v>46</v>
      </c>
      <c r="M1" s="131" t="s">
        <v>386</v>
      </c>
      <c r="N1" s="131" t="s">
        <v>47</v>
      </c>
      <c r="O1" s="131" t="s">
        <v>48</v>
      </c>
      <c r="P1" s="131" t="s">
        <v>49</v>
      </c>
      <c r="Q1" s="131" t="s">
        <v>479</v>
      </c>
      <c r="R1" s="131" t="s">
        <v>50</v>
      </c>
    </row>
    <row r="2" spans="1:18" ht="18" customHeight="1" x14ac:dyDescent="0.25">
      <c r="A2" s="167" t="s">
        <v>304</v>
      </c>
      <c r="B2" s="173" t="s">
        <v>305</v>
      </c>
      <c r="C2" s="87" t="s">
        <v>83</v>
      </c>
      <c r="D2" s="134" t="str" cm="1">
        <f t="array" aca="1" ref="D2" ca="1">_xlfn.LET(_xlpm.filepath,CELL("filename",D2),MID(_xlpm.filepath,FIND("]",_xlpm.filepath)+1,3))</f>
        <v>015</v>
      </c>
      <c r="E2" s="135" t="s">
        <v>84</v>
      </c>
      <c r="F2" s="89" t="str">
        <f>"DO"&amp;E2&amp;"+"</f>
        <v>DO1+</v>
      </c>
      <c r="G2" s="87" t="s">
        <v>232</v>
      </c>
      <c r="H2" s="87" t="s">
        <v>233</v>
      </c>
      <c r="I2" s="65" t="s">
        <v>391</v>
      </c>
      <c r="J2" s="136" t="s">
        <v>56</v>
      </c>
      <c r="K2" s="136" t="s">
        <v>306</v>
      </c>
      <c r="L2" s="89" t="s">
        <v>378</v>
      </c>
      <c r="M2" s="89" t="s">
        <v>439</v>
      </c>
      <c r="N2" s="89" t="str">
        <f ca="1">D2&amp;"/"&amp;F2</f>
        <v>015/DO1+</v>
      </c>
      <c r="O2" s="89" t="s">
        <v>571</v>
      </c>
      <c r="P2" s="78">
        <v>1</v>
      </c>
      <c r="Q2" s="90" t="s">
        <v>475</v>
      </c>
      <c r="R2" s="69">
        <v>0</v>
      </c>
    </row>
    <row r="3" spans="1:18" ht="18" customHeight="1" x14ac:dyDescent="0.25">
      <c r="A3" s="168"/>
      <c r="B3" s="174"/>
      <c r="C3" s="139"/>
      <c r="D3" s="140"/>
      <c r="E3" s="141"/>
      <c r="F3" s="117" t="str">
        <f>"DO"&amp;E2&amp;"-"</f>
        <v>DO1-</v>
      </c>
      <c r="G3" s="139"/>
      <c r="H3" s="139"/>
      <c r="I3" s="55" t="s">
        <v>392</v>
      </c>
      <c r="J3" s="139"/>
      <c r="K3" s="139"/>
      <c r="L3" s="117" t="s">
        <v>376</v>
      </c>
      <c r="M3" s="117" t="s">
        <v>439</v>
      </c>
      <c r="N3" s="117" t="str">
        <f ca="1">D2&amp;"/"&amp;F3</f>
        <v>015/DO1-</v>
      </c>
      <c r="O3" s="117" t="s">
        <v>571</v>
      </c>
      <c r="P3" s="73">
        <v>2</v>
      </c>
      <c r="Q3" s="142"/>
      <c r="R3" s="57"/>
    </row>
    <row r="4" spans="1:18" ht="18" customHeight="1" x14ac:dyDescent="0.25">
      <c r="A4" s="169" t="s">
        <v>307</v>
      </c>
      <c r="B4" s="175" t="s">
        <v>308</v>
      </c>
      <c r="C4" s="102" t="s">
        <v>83</v>
      </c>
      <c r="D4" s="143" t="str" cm="1">
        <f t="array" aca="1" ref="D4" ca="1">_xlfn.LET(_xlpm.filepath,CELL("filename",D4),MID(_xlpm.filepath,FIND("]",_xlpm.filepath)+1,3))</f>
        <v>015</v>
      </c>
      <c r="E4" s="144" t="s">
        <v>90</v>
      </c>
      <c r="F4" s="104" t="str">
        <f>"DO"&amp;E4&amp;"+"</f>
        <v>DO2+</v>
      </c>
      <c r="G4" s="102" t="s">
        <v>232</v>
      </c>
      <c r="H4" s="102" t="s">
        <v>233</v>
      </c>
      <c r="I4" s="58" t="s">
        <v>393</v>
      </c>
      <c r="J4" s="102" t="s">
        <v>56</v>
      </c>
      <c r="K4" s="102" t="s">
        <v>306</v>
      </c>
      <c r="L4" s="104" t="s">
        <v>378</v>
      </c>
      <c r="M4" s="104" t="s">
        <v>439</v>
      </c>
      <c r="N4" s="104" t="str">
        <f ca="1">D4&amp;"/"&amp;F4</f>
        <v>015/DO2+</v>
      </c>
      <c r="O4" s="104" t="s">
        <v>571</v>
      </c>
      <c r="P4" s="74">
        <v>3</v>
      </c>
      <c r="Q4" s="103" t="s">
        <v>475</v>
      </c>
      <c r="R4" s="105" t="s">
        <v>91</v>
      </c>
    </row>
    <row r="5" spans="1:18" ht="18" customHeight="1" x14ac:dyDescent="0.25">
      <c r="A5" s="170"/>
      <c r="B5" s="176"/>
      <c r="C5" s="127"/>
      <c r="D5" s="145"/>
      <c r="E5" s="146"/>
      <c r="F5" s="147" t="str">
        <f>"DO"&amp;E4&amp;"-"</f>
        <v>DO2-</v>
      </c>
      <c r="G5" s="127"/>
      <c r="H5" s="127"/>
      <c r="I5" s="59" t="s">
        <v>394</v>
      </c>
      <c r="J5" s="129"/>
      <c r="K5" s="127"/>
      <c r="L5" s="147" t="s">
        <v>376</v>
      </c>
      <c r="M5" s="147" t="s">
        <v>439</v>
      </c>
      <c r="N5" s="147" t="str">
        <f ca="1">D4&amp;"/"&amp;F5</f>
        <v>015/DO2-</v>
      </c>
      <c r="O5" s="147" t="s">
        <v>571</v>
      </c>
      <c r="P5" s="75">
        <v>4</v>
      </c>
      <c r="Q5" s="128"/>
      <c r="R5" s="130"/>
    </row>
    <row r="6" spans="1:18" ht="18" customHeight="1" x14ac:dyDescent="0.25">
      <c r="A6" s="171" t="s">
        <v>309</v>
      </c>
      <c r="B6" s="177" t="s">
        <v>310</v>
      </c>
      <c r="C6" s="121" t="s">
        <v>83</v>
      </c>
      <c r="D6" s="148" t="str" cm="1">
        <f t="array" aca="1" ref="D6" ca="1">_xlfn.LET(_xlpm.filepath,CELL("filename",D6),MID(_xlpm.filepath,FIND("]",_xlpm.filepath)+1,3))</f>
        <v>015</v>
      </c>
      <c r="E6" s="149" t="s">
        <v>237</v>
      </c>
      <c r="F6" s="123" t="str">
        <f>"DO"&amp;E6&amp;"+"</f>
        <v>DO3+</v>
      </c>
      <c r="G6" s="121" t="s">
        <v>232</v>
      </c>
      <c r="H6" s="121" t="s">
        <v>233</v>
      </c>
      <c r="I6" s="53" t="s">
        <v>395</v>
      </c>
      <c r="J6" s="121" t="s">
        <v>56</v>
      </c>
      <c r="K6" s="121" t="s">
        <v>306</v>
      </c>
      <c r="L6" s="123" t="s">
        <v>378</v>
      </c>
      <c r="M6" s="123" t="s">
        <v>439</v>
      </c>
      <c r="N6" s="123" t="str">
        <f ca="1">D6&amp;"/"&amp;F6</f>
        <v>015/DO3+</v>
      </c>
      <c r="O6" s="123" t="s">
        <v>571</v>
      </c>
      <c r="P6" s="60">
        <v>5</v>
      </c>
      <c r="Q6" s="124" t="s">
        <v>475</v>
      </c>
      <c r="R6" s="150">
        <v>0</v>
      </c>
    </row>
    <row r="7" spans="1:18" ht="18" customHeight="1" x14ac:dyDescent="0.25">
      <c r="A7" s="168"/>
      <c r="B7" s="174"/>
      <c r="C7" s="139"/>
      <c r="D7" s="140"/>
      <c r="E7" s="141"/>
      <c r="F7" s="117" t="str">
        <f>"DO"&amp;E6&amp;"-"</f>
        <v>DO3-</v>
      </c>
      <c r="G7" s="139"/>
      <c r="H7" s="139"/>
      <c r="I7" s="55" t="s">
        <v>396</v>
      </c>
      <c r="J7" s="139"/>
      <c r="K7" s="139"/>
      <c r="L7" s="117" t="s">
        <v>376</v>
      </c>
      <c r="M7" s="117" t="s">
        <v>439</v>
      </c>
      <c r="N7" s="117" t="str">
        <f ca="1">D6&amp;"/"&amp;F7</f>
        <v>015/DO3-</v>
      </c>
      <c r="O7" s="117" t="s">
        <v>571</v>
      </c>
      <c r="P7" s="73">
        <v>6</v>
      </c>
      <c r="Q7" s="142"/>
      <c r="R7" s="151"/>
    </row>
    <row r="8" spans="1:18" ht="18" customHeight="1" x14ac:dyDescent="0.25">
      <c r="A8" s="169" t="s">
        <v>317</v>
      </c>
      <c r="B8" s="175" t="s">
        <v>570</v>
      </c>
      <c r="C8" s="102" t="s">
        <v>83</v>
      </c>
      <c r="D8" s="143" t="str" cm="1">
        <f t="array" aca="1" ref="D8" ca="1">_xlfn.LET(_xlpm.filepath,CELL("filename",D8),MID(_xlpm.filepath,FIND("]",_xlpm.filepath)+1,3))</f>
        <v>015</v>
      </c>
      <c r="E8" s="144" t="s">
        <v>96</v>
      </c>
      <c r="F8" s="104" t="str">
        <f>"DO"&amp;E8&amp;"+"</f>
        <v>DO4+</v>
      </c>
      <c r="G8" s="102" t="s">
        <v>232</v>
      </c>
      <c r="H8" s="102" t="s">
        <v>233</v>
      </c>
      <c r="I8" s="58" t="s">
        <v>397</v>
      </c>
      <c r="J8" s="102" t="s">
        <v>56</v>
      </c>
      <c r="K8" s="102" t="s">
        <v>318</v>
      </c>
      <c r="L8" s="104" t="s">
        <v>378</v>
      </c>
      <c r="M8" s="104" t="s">
        <v>439</v>
      </c>
      <c r="N8" s="104" t="str">
        <f ca="1">D8&amp;"/"&amp;F8</f>
        <v>015/DO4+</v>
      </c>
      <c r="O8" s="104" t="s">
        <v>564</v>
      </c>
      <c r="P8" s="74">
        <v>1</v>
      </c>
      <c r="Q8" s="103" t="s">
        <v>475</v>
      </c>
      <c r="R8" s="105" t="s">
        <v>91</v>
      </c>
    </row>
    <row r="9" spans="1:18" ht="18" customHeight="1" x14ac:dyDescent="0.25">
      <c r="A9" s="170"/>
      <c r="B9" s="176"/>
      <c r="C9" s="127"/>
      <c r="D9" s="145"/>
      <c r="E9" s="146"/>
      <c r="F9" s="147" t="str">
        <f>"DO"&amp;E8&amp;"-"</f>
        <v>DO4-</v>
      </c>
      <c r="G9" s="127"/>
      <c r="H9" s="127"/>
      <c r="I9" s="59" t="s">
        <v>398</v>
      </c>
      <c r="J9" s="129"/>
      <c r="K9" s="127"/>
      <c r="L9" s="147" t="s">
        <v>376</v>
      </c>
      <c r="M9" s="147" t="s">
        <v>439</v>
      </c>
      <c r="N9" s="147" t="str">
        <f ca="1">D8&amp;"/"&amp;F9</f>
        <v>015/DO4-</v>
      </c>
      <c r="O9" s="147" t="s">
        <v>564</v>
      </c>
      <c r="P9" s="75">
        <v>2</v>
      </c>
      <c r="Q9" s="128"/>
      <c r="R9" s="130"/>
    </row>
    <row r="10" spans="1:18" ht="18" customHeight="1" x14ac:dyDescent="0.25">
      <c r="A10" s="171" t="s">
        <v>320</v>
      </c>
      <c r="B10" s="177" t="s">
        <v>569</v>
      </c>
      <c r="C10" s="121" t="s">
        <v>83</v>
      </c>
      <c r="D10" s="148" t="str" cm="1">
        <f t="array" aca="1" ref="D10" ca="1">_xlfn.LET(_xlpm.filepath,CELL("filename",D10),MID(_xlpm.filepath,FIND("]",_xlpm.filepath)+1,3))</f>
        <v>015</v>
      </c>
      <c r="E10" s="149" t="s">
        <v>242</v>
      </c>
      <c r="F10" s="123" t="str">
        <f>"DO"&amp;E10&amp;"+"</f>
        <v>DO5+</v>
      </c>
      <c r="G10" s="121" t="s">
        <v>232</v>
      </c>
      <c r="H10" s="121" t="s">
        <v>233</v>
      </c>
      <c r="I10" s="53" t="s">
        <v>399</v>
      </c>
      <c r="J10" s="121" t="s">
        <v>56</v>
      </c>
      <c r="K10" s="121" t="s">
        <v>321</v>
      </c>
      <c r="L10" s="123" t="s">
        <v>378</v>
      </c>
      <c r="M10" s="123" t="s">
        <v>439</v>
      </c>
      <c r="N10" s="123" t="str">
        <f ca="1">D10&amp;"/"&amp;F10</f>
        <v>015/DO5+</v>
      </c>
      <c r="O10" s="123" t="s">
        <v>564</v>
      </c>
      <c r="P10" s="60">
        <v>5</v>
      </c>
      <c r="Q10" s="124" t="s">
        <v>475</v>
      </c>
      <c r="R10" s="150">
        <v>0</v>
      </c>
    </row>
    <row r="11" spans="1:18" ht="18" customHeight="1" x14ac:dyDescent="0.25">
      <c r="A11" s="168"/>
      <c r="B11" s="174"/>
      <c r="C11" s="139"/>
      <c r="D11" s="140"/>
      <c r="E11" s="141"/>
      <c r="F11" s="117" t="str">
        <f>"DO"&amp;E10&amp;"-"</f>
        <v>DO5-</v>
      </c>
      <c r="G11" s="139"/>
      <c r="H11" s="139"/>
      <c r="I11" s="55" t="s">
        <v>400</v>
      </c>
      <c r="J11" s="139"/>
      <c r="K11" s="139"/>
      <c r="L11" s="117" t="s">
        <v>376</v>
      </c>
      <c r="M11" s="117" t="s">
        <v>439</v>
      </c>
      <c r="N11" s="117" t="str">
        <f ca="1">D10&amp;"/"&amp;F11</f>
        <v>015/DO5-</v>
      </c>
      <c r="O11" s="117" t="s">
        <v>564</v>
      </c>
      <c r="P11" s="73">
        <v>6</v>
      </c>
      <c r="Q11" s="142"/>
      <c r="R11" s="151"/>
    </row>
    <row r="12" spans="1:18" ht="18" customHeight="1" x14ac:dyDescent="0.25">
      <c r="A12" s="169" t="s">
        <v>332</v>
      </c>
      <c r="B12" s="175" t="s">
        <v>568</v>
      </c>
      <c r="C12" s="102" t="s">
        <v>83</v>
      </c>
      <c r="D12" s="143" t="str" cm="1">
        <f t="array" aca="1" ref="D12" ca="1">_xlfn.LET(_xlpm.filepath,CELL("filename",D12),MID(_xlpm.filepath,FIND("]",_xlpm.filepath)+1,3))</f>
        <v>015</v>
      </c>
      <c r="E12" s="144" t="s">
        <v>101</v>
      </c>
      <c r="F12" s="104" t="str">
        <f>"DO"&amp;E12&amp;"+"</f>
        <v>DO6+</v>
      </c>
      <c r="G12" s="102" t="s">
        <v>232</v>
      </c>
      <c r="H12" s="102" t="s">
        <v>233</v>
      </c>
      <c r="I12" s="58" t="s">
        <v>401</v>
      </c>
      <c r="J12" s="102" t="s">
        <v>56</v>
      </c>
      <c r="K12" s="102" t="s">
        <v>333</v>
      </c>
      <c r="L12" s="104" t="s">
        <v>378</v>
      </c>
      <c r="M12" s="104" t="s">
        <v>439</v>
      </c>
      <c r="N12" s="104" t="str">
        <f ca="1">D12&amp;"/"&amp;F12</f>
        <v>015/DO6+</v>
      </c>
      <c r="O12" s="104" t="s">
        <v>564</v>
      </c>
      <c r="P12" s="74">
        <v>9</v>
      </c>
      <c r="Q12" s="103" t="s">
        <v>475</v>
      </c>
      <c r="R12" s="105" t="s">
        <v>91</v>
      </c>
    </row>
    <row r="13" spans="1:18" ht="18" customHeight="1" x14ac:dyDescent="0.25">
      <c r="A13" s="170"/>
      <c r="B13" s="176"/>
      <c r="C13" s="127"/>
      <c r="D13" s="145"/>
      <c r="E13" s="146"/>
      <c r="F13" s="147" t="str">
        <f>"DO"&amp;E12&amp;"-"</f>
        <v>DO6-</v>
      </c>
      <c r="G13" s="127"/>
      <c r="H13" s="127"/>
      <c r="I13" s="59" t="s">
        <v>402</v>
      </c>
      <c r="J13" s="129"/>
      <c r="K13" s="127"/>
      <c r="L13" s="147" t="s">
        <v>376</v>
      </c>
      <c r="M13" s="147" t="s">
        <v>439</v>
      </c>
      <c r="N13" s="147" t="str">
        <f ca="1">D12&amp;"/"&amp;F13</f>
        <v>015/DO6-</v>
      </c>
      <c r="O13" s="147" t="s">
        <v>564</v>
      </c>
      <c r="P13" s="75">
        <v>10</v>
      </c>
      <c r="Q13" s="128"/>
      <c r="R13" s="130"/>
    </row>
    <row r="14" spans="1:18" ht="18" customHeight="1" x14ac:dyDescent="0.25">
      <c r="A14" s="171" t="s">
        <v>335</v>
      </c>
      <c r="B14" s="177" t="s">
        <v>567</v>
      </c>
      <c r="C14" s="121" t="s">
        <v>83</v>
      </c>
      <c r="D14" s="148" t="str" cm="1">
        <f t="array" aca="1" ref="D14" ca="1">_xlfn.LET(_xlpm.filepath,CELL("filename",D14),MID(_xlpm.filepath,FIND("]",_xlpm.filepath)+1,3))</f>
        <v>015</v>
      </c>
      <c r="E14" s="149" t="s">
        <v>246</v>
      </c>
      <c r="F14" s="123" t="str">
        <f>"DO"&amp;E14&amp;"+"</f>
        <v>DO7+</v>
      </c>
      <c r="G14" s="121" t="s">
        <v>232</v>
      </c>
      <c r="H14" s="121" t="s">
        <v>233</v>
      </c>
      <c r="I14" s="53" t="s">
        <v>403</v>
      </c>
      <c r="J14" s="121" t="s">
        <v>56</v>
      </c>
      <c r="K14" s="121" t="s">
        <v>336</v>
      </c>
      <c r="L14" s="123" t="s">
        <v>378</v>
      </c>
      <c r="M14" s="123" t="s">
        <v>439</v>
      </c>
      <c r="N14" s="123" t="str">
        <f ca="1">D14&amp;"/"&amp;F14</f>
        <v>015/DO7+</v>
      </c>
      <c r="O14" s="123" t="s">
        <v>564</v>
      </c>
      <c r="P14" s="60">
        <v>13</v>
      </c>
      <c r="Q14" s="124" t="s">
        <v>475</v>
      </c>
      <c r="R14" s="150">
        <v>0</v>
      </c>
    </row>
    <row r="15" spans="1:18" ht="18" customHeight="1" x14ac:dyDescent="0.25">
      <c r="A15" s="168"/>
      <c r="B15" s="174"/>
      <c r="C15" s="139"/>
      <c r="D15" s="140"/>
      <c r="E15" s="141"/>
      <c r="F15" s="117" t="str">
        <f>"DO"&amp;E14&amp;"-"</f>
        <v>DO7-</v>
      </c>
      <c r="G15" s="139"/>
      <c r="H15" s="139"/>
      <c r="I15" s="55" t="s">
        <v>404</v>
      </c>
      <c r="J15" s="139"/>
      <c r="K15" s="139"/>
      <c r="L15" s="117" t="s">
        <v>376</v>
      </c>
      <c r="M15" s="117" t="s">
        <v>439</v>
      </c>
      <c r="N15" s="117" t="str">
        <f ca="1">D14&amp;"/"&amp;F15</f>
        <v>015/DO7-</v>
      </c>
      <c r="O15" s="117" t="s">
        <v>564</v>
      </c>
      <c r="P15" s="73">
        <v>14</v>
      </c>
      <c r="Q15" s="142"/>
      <c r="R15" s="151"/>
    </row>
    <row r="16" spans="1:18" ht="18" customHeight="1" x14ac:dyDescent="0.25">
      <c r="A16" s="169" t="s">
        <v>338</v>
      </c>
      <c r="B16" s="175" t="s">
        <v>566</v>
      </c>
      <c r="C16" s="102" t="s">
        <v>83</v>
      </c>
      <c r="D16" s="143" t="str" cm="1">
        <f t="array" aca="1" ref="D16" ca="1">_xlfn.LET(_xlpm.filepath,CELL("filename",D16),MID(_xlpm.filepath,FIND("]",_xlpm.filepath)+1,3))</f>
        <v>015</v>
      </c>
      <c r="E16" s="144" t="s">
        <v>102</v>
      </c>
      <c r="F16" s="104" t="str">
        <f>"DO"&amp;E16&amp;"+"</f>
        <v>DO8+</v>
      </c>
      <c r="G16" s="102" t="s">
        <v>232</v>
      </c>
      <c r="H16" s="102" t="s">
        <v>233</v>
      </c>
      <c r="I16" s="58" t="s">
        <v>405</v>
      </c>
      <c r="J16" s="102" t="s">
        <v>56</v>
      </c>
      <c r="K16" s="102" t="s">
        <v>339</v>
      </c>
      <c r="L16" s="104" t="s">
        <v>378</v>
      </c>
      <c r="M16" s="104" t="s">
        <v>439</v>
      </c>
      <c r="N16" s="104" t="str">
        <f ca="1">D16&amp;"/"&amp;F16</f>
        <v>015/DO8+</v>
      </c>
      <c r="O16" s="104" t="s">
        <v>564</v>
      </c>
      <c r="P16" s="74">
        <v>17</v>
      </c>
      <c r="Q16" s="103" t="s">
        <v>475</v>
      </c>
      <c r="R16" s="105" t="s">
        <v>91</v>
      </c>
    </row>
    <row r="17" spans="1:18" ht="18" customHeight="1" x14ac:dyDescent="0.25">
      <c r="A17" s="170"/>
      <c r="B17" s="176"/>
      <c r="C17" s="127"/>
      <c r="D17" s="145"/>
      <c r="E17" s="146"/>
      <c r="F17" s="147" t="str">
        <f>"DO"&amp;E16&amp;"-"</f>
        <v>DO8-</v>
      </c>
      <c r="G17" s="127"/>
      <c r="H17" s="127"/>
      <c r="I17" s="59" t="s">
        <v>406</v>
      </c>
      <c r="J17" s="129"/>
      <c r="K17" s="127"/>
      <c r="L17" s="147" t="s">
        <v>376</v>
      </c>
      <c r="M17" s="147" t="s">
        <v>439</v>
      </c>
      <c r="N17" s="147" t="str">
        <f ca="1">D16&amp;"/"&amp;F17</f>
        <v>015/DO8-</v>
      </c>
      <c r="O17" s="147" t="s">
        <v>564</v>
      </c>
      <c r="P17" s="75">
        <v>18</v>
      </c>
      <c r="Q17" s="128"/>
      <c r="R17" s="130"/>
    </row>
    <row r="18" spans="1:18" ht="18" customHeight="1" x14ac:dyDescent="0.25">
      <c r="A18" s="171" t="s">
        <v>323</v>
      </c>
      <c r="B18" s="177" t="s">
        <v>565</v>
      </c>
      <c r="C18" s="121" t="s">
        <v>83</v>
      </c>
      <c r="D18" s="148" t="str" cm="1">
        <f t="array" aca="1" ref="D18" ca="1">_xlfn.LET(_xlpm.filepath,CELL("filename",D18),MID(_xlpm.filepath,FIND("]",_xlpm.filepath)+1,3))</f>
        <v>015</v>
      </c>
      <c r="E18" s="149" t="s">
        <v>252</v>
      </c>
      <c r="F18" s="123" t="str">
        <f>"DO"&amp;E18&amp;"+"</f>
        <v>DO9+</v>
      </c>
      <c r="G18" s="121" t="s">
        <v>232</v>
      </c>
      <c r="H18" s="121" t="s">
        <v>233</v>
      </c>
      <c r="I18" s="53" t="s">
        <v>407</v>
      </c>
      <c r="J18" s="121" t="s">
        <v>56</v>
      </c>
      <c r="K18" s="121" t="s">
        <v>324</v>
      </c>
      <c r="L18" s="123" t="s">
        <v>378</v>
      </c>
      <c r="M18" s="123" t="s">
        <v>439</v>
      </c>
      <c r="N18" s="123" t="str">
        <f ca="1">D18&amp;"/"&amp;F18</f>
        <v>015/DO9+</v>
      </c>
      <c r="O18" s="123" t="s">
        <v>564</v>
      </c>
      <c r="P18" s="60">
        <v>21</v>
      </c>
      <c r="Q18" s="124" t="s">
        <v>475</v>
      </c>
      <c r="R18" s="150">
        <v>0</v>
      </c>
    </row>
    <row r="19" spans="1:18" ht="18" customHeight="1" x14ac:dyDescent="0.25">
      <c r="A19" s="168"/>
      <c r="B19" s="174"/>
      <c r="C19" s="139"/>
      <c r="D19" s="140"/>
      <c r="E19" s="141"/>
      <c r="F19" s="117" t="str">
        <f>"DO"&amp;E18&amp;"-"</f>
        <v>DO9-</v>
      </c>
      <c r="G19" s="139"/>
      <c r="H19" s="139"/>
      <c r="I19" s="55" t="s">
        <v>408</v>
      </c>
      <c r="J19" s="139"/>
      <c r="K19" s="139"/>
      <c r="L19" s="117" t="s">
        <v>376</v>
      </c>
      <c r="M19" s="117" t="s">
        <v>439</v>
      </c>
      <c r="N19" s="117" t="str">
        <f ca="1">D18&amp;"/"&amp;F19</f>
        <v>015/DO9-</v>
      </c>
      <c r="O19" s="117" t="s">
        <v>564</v>
      </c>
      <c r="P19" s="73">
        <v>22</v>
      </c>
      <c r="Q19" s="142"/>
      <c r="R19" s="151"/>
    </row>
    <row r="20" spans="1:18" ht="18" customHeight="1" x14ac:dyDescent="0.25">
      <c r="A20" s="169" t="s">
        <v>354</v>
      </c>
      <c r="B20" s="175" t="s">
        <v>563</v>
      </c>
      <c r="C20" s="102" t="s">
        <v>83</v>
      </c>
      <c r="D20" s="143" t="str" cm="1">
        <f t="array" aca="1" ref="D20" ca="1">_xlfn.LET(_xlpm.filepath,CELL("filename",D20),MID(_xlpm.filepath,FIND("]",_xlpm.filepath)+1,3))</f>
        <v>015</v>
      </c>
      <c r="E20" s="144" t="s">
        <v>105</v>
      </c>
      <c r="F20" s="104" t="str">
        <f>"DO"&amp;E20&amp;"+"</f>
        <v>DO10+</v>
      </c>
      <c r="G20" s="102" t="s">
        <v>232</v>
      </c>
      <c r="H20" s="102" t="s">
        <v>233</v>
      </c>
      <c r="I20" s="58" t="s">
        <v>409</v>
      </c>
      <c r="J20" s="102" t="s">
        <v>56</v>
      </c>
      <c r="K20" s="102" t="s">
        <v>355</v>
      </c>
      <c r="L20" s="104" t="s">
        <v>378</v>
      </c>
      <c r="M20" s="104" t="s">
        <v>439</v>
      </c>
      <c r="N20" s="104" t="str">
        <f ca="1">D20&amp;"/"&amp;F20</f>
        <v>015/DO10+</v>
      </c>
      <c r="O20" s="104" t="s">
        <v>528</v>
      </c>
      <c r="P20" s="74">
        <v>9</v>
      </c>
      <c r="Q20" s="103" t="s">
        <v>475</v>
      </c>
      <c r="R20" s="105" t="s">
        <v>91</v>
      </c>
    </row>
    <row r="21" spans="1:18" ht="18" customHeight="1" x14ac:dyDescent="0.25">
      <c r="A21" s="170"/>
      <c r="B21" s="176"/>
      <c r="C21" s="127"/>
      <c r="D21" s="145"/>
      <c r="E21" s="146"/>
      <c r="F21" s="147" t="str">
        <f>"DO"&amp;E20&amp;"-"</f>
        <v>DO10-</v>
      </c>
      <c r="G21" s="127"/>
      <c r="H21" s="127"/>
      <c r="I21" s="59" t="s">
        <v>410</v>
      </c>
      <c r="J21" s="129"/>
      <c r="K21" s="127"/>
      <c r="L21" s="147" t="s">
        <v>376</v>
      </c>
      <c r="M21" s="147" t="s">
        <v>439</v>
      </c>
      <c r="N21" s="147" t="str">
        <f ca="1">D20&amp;"/"&amp;F21</f>
        <v>015/DO10-</v>
      </c>
      <c r="O21" s="147" t="s">
        <v>528</v>
      </c>
      <c r="P21" s="75">
        <v>10</v>
      </c>
      <c r="Q21" s="128"/>
      <c r="R21" s="130"/>
    </row>
    <row r="22" spans="1:18" ht="18" customHeight="1" x14ac:dyDescent="0.25">
      <c r="A22" s="171" t="s">
        <v>356</v>
      </c>
      <c r="B22" s="177" t="s">
        <v>562</v>
      </c>
      <c r="C22" s="121" t="s">
        <v>83</v>
      </c>
      <c r="D22" s="148" t="str" cm="1">
        <f t="array" aca="1" ref="D22" ca="1">_xlfn.LET(_xlpm.filepath,CELL("filename",D22),MID(_xlpm.filepath,FIND("]",_xlpm.filepath)+1,3))</f>
        <v>015</v>
      </c>
      <c r="E22" s="149" t="s">
        <v>257</v>
      </c>
      <c r="F22" s="123" t="str">
        <f>"DO"&amp;E22&amp;"+"</f>
        <v>DO11+</v>
      </c>
      <c r="G22" s="121" t="s">
        <v>232</v>
      </c>
      <c r="H22" s="121" t="s">
        <v>233</v>
      </c>
      <c r="I22" s="53" t="s">
        <v>411</v>
      </c>
      <c r="J22" s="121" t="s">
        <v>56</v>
      </c>
      <c r="K22" s="121" t="s">
        <v>355</v>
      </c>
      <c r="L22" s="123" t="s">
        <v>378</v>
      </c>
      <c r="M22" s="123" t="s">
        <v>439</v>
      </c>
      <c r="N22" s="123" t="str">
        <f ca="1">D22&amp;"/"&amp;F22</f>
        <v>015/DO11+</v>
      </c>
      <c r="O22" s="123" t="s">
        <v>528</v>
      </c>
      <c r="P22" s="60">
        <v>11</v>
      </c>
      <c r="Q22" s="124" t="s">
        <v>475</v>
      </c>
      <c r="R22" s="150">
        <v>0</v>
      </c>
    </row>
    <row r="23" spans="1:18" ht="18" customHeight="1" thickBot="1" x14ac:dyDescent="0.3">
      <c r="A23" s="168"/>
      <c r="B23" s="174"/>
      <c r="C23" s="139"/>
      <c r="D23" s="140"/>
      <c r="E23" s="141"/>
      <c r="F23" s="117" t="str">
        <f>"DO"&amp;E22&amp;"-"</f>
        <v>DO11-</v>
      </c>
      <c r="G23" s="139"/>
      <c r="H23" s="139"/>
      <c r="I23" s="55" t="s">
        <v>412</v>
      </c>
      <c r="J23" s="139"/>
      <c r="K23" s="139"/>
      <c r="L23" s="117" t="s">
        <v>376</v>
      </c>
      <c r="M23" s="117" t="s">
        <v>439</v>
      </c>
      <c r="N23" s="117" t="str">
        <f ca="1">D22&amp;"/"&amp;F23</f>
        <v>015/DO11-</v>
      </c>
      <c r="O23" s="243" t="s">
        <v>528</v>
      </c>
      <c r="P23" s="239">
        <v>12</v>
      </c>
      <c r="Q23" s="142"/>
      <c r="R23" s="151"/>
    </row>
    <row r="24" spans="1:18" ht="18" customHeight="1" thickTop="1" x14ac:dyDescent="0.25">
      <c r="A24" s="169" t="s">
        <v>357</v>
      </c>
      <c r="B24" s="175" t="s">
        <v>561</v>
      </c>
      <c r="C24" s="102" t="s">
        <v>83</v>
      </c>
      <c r="D24" s="143" t="str" cm="1">
        <f t="array" aca="1" ref="D24" ca="1">_xlfn.LET(_xlpm.filepath,CELL("filename",D24),MID(_xlpm.filepath,FIND("]",_xlpm.filepath)+1,3))</f>
        <v>015</v>
      </c>
      <c r="E24" s="144" t="s">
        <v>108</v>
      </c>
      <c r="F24" s="104" t="str">
        <f>"DO"&amp;E24&amp;"+"</f>
        <v>DO12+</v>
      </c>
      <c r="G24" s="102" t="s">
        <v>232</v>
      </c>
      <c r="H24" s="102" t="s">
        <v>233</v>
      </c>
      <c r="I24" s="58" t="s">
        <v>413</v>
      </c>
      <c r="J24" s="102" t="s">
        <v>75</v>
      </c>
      <c r="K24" s="102" t="s">
        <v>358</v>
      </c>
      <c r="L24" s="104" t="s">
        <v>378</v>
      </c>
      <c r="M24" s="104" t="s">
        <v>439</v>
      </c>
      <c r="N24" s="104" t="str">
        <f ca="1">D24&amp;"/"&amp;F24</f>
        <v>015/DO12+</v>
      </c>
      <c r="O24" s="242" t="s">
        <v>528</v>
      </c>
      <c r="P24" s="237">
        <v>13</v>
      </c>
      <c r="Q24" s="103" t="s">
        <v>475</v>
      </c>
      <c r="R24" s="105" t="s">
        <v>91</v>
      </c>
    </row>
    <row r="25" spans="1:18" ht="18" customHeight="1" x14ac:dyDescent="0.25">
      <c r="A25" s="170"/>
      <c r="B25" s="176"/>
      <c r="C25" s="127"/>
      <c r="D25" s="145"/>
      <c r="E25" s="146"/>
      <c r="F25" s="147" t="str">
        <f>"DO"&amp;E24&amp;"-"</f>
        <v>DO12-</v>
      </c>
      <c r="G25" s="127"/>
      <c r="H25" s="127"/>
      <c r="I25" s="59" t="s">
        <v>414</v>
      </c>
      <c r="J25" s="129"/>
      <c r="K25" s="127"/>
      <c r="L25" s="147" t="s">
        <v>376</v>
      </c>
      <c r="M25" s="147" t="s">
        <v>439</v>
      </c>
      <c r="N25" s="147" t="str">
        <f ca="1">D24&amp;"/"&amp;F25</f>
        <v>015/DO12-</v>
      </c>
      <c r="O25" s="147" t="s">
        <v>528</v>
      </c>
      <c r="P25" s="75">
        <v>14</v>
      </c>
      <c r="Q25" s="128"/>
      <c r="R25" s="130"/>
    </row>
    <row r="26" spans="1:18" ht="18" customHeight="1" x14ac:dyDescent="0.25">
      <c r="A26" s="171" t="s">
        <v>359</v>
      </c>
      <c r="B26" s="177" t="s">
        <v>560</v>
      </c>
      <c r="C26" s="121" t="s">
        <v>83</v>
      </c>
      <c r="D26" s="148" t="str" cm="1">
        <f t="array" aca="1" ref="D26" ca="1">_xlfn.LET(_xlpm.filepath,CELL("filename",D26),MID(_xlpm.filepath,FIND("]",_xlpm.filepath)+1,3))</f>
        <v>015</v>
      </c>
      <c r="E26" s="149" t="s">
        <v>262</v>
      </c>
      <c r="F26" s="123" t="str">
        <f>"DO"&amp;E26&amp;"+"</f>
        <v>DO13+</v>
      </c>
      <c r="G26" s="121" t="s">
        <v>232</v>
      </c>
      <c r="H26" s="121" t="s">
        <v>233</v>
      </c>
      <c r="I26" s="53" t="s">
        <v>415</v>
      </c>
      <c r="J26" s="121" t="s">
        <v>75</v>
      </c>
      <c r="K26" s="121" t="s">
        <v>358</v>
      </c>
      <c r="L26" s="123" t="s">
        <v>378</v>
      </c>
      <c r="M26" s="123" t="s">
        <v>439</v>
      </c>
      <c r="N26" s="123" t="str">
        <f ca="1">D26&amp;"/"&amp;F26</f>
        <v>015/DO13+</v>
      </c>
      <c r="O26" s="123" t="s">
        <v>528</v>
      </c>
      <c r="P26" s="60">
        <v>15</v>
      </c>
      <c r="Q26" s="124" t="s">
        <v>475</v>
      </c>
      <c r="R26" s="150">
        <v>0</v>
      </c>
    </row>
    <row r="27" spans="1:18" ht="18" customHeight="1" x14ac:dyDescent="0.25">
      <c r="A27" s="168"/>
      <c r="B27" s="174"/>
      <c r="C27" s="139"/>
      <c r="D27" s="140"/>
      <c r="E27" s="141"/>
      <c r="F27" s="117" t="str">
        <f>"DO"&amp;E26&amp;"-"</f>
        <v>DO13-</v>
      </c>
      <c r="G27" s="139"/>
      <c r="H27" s="139"/>
      <c r="I27" s="55" t="s">
        <v>416</v>
      </c>
      <c r="J27" s="139"/>
      <c r="K27" s="139"/>
      <c r="L27" s="117" t="s">
        <v>376</v>
      </c>
      <c r="M27" s="117" t="s">
        <v>439</v>
      </c>
      <c r="N27" s="117" t="str">
        <f ca="1">D26&amp;"/"&amp;F27</f>
        <v>015/DO13-</v>
      </c>
      <c r="O27" s="117" t="s">
        <v>528</v>
      </c>
      <c r="P27" s="73">
        <v>16</v>
      </c>
      <c r="Q27" s="142"/>
      <c r="R27" s="151"/>
    </row>
    <row r="28" spans="1:18" ht="18" customHeight="1" x14ac:dyDescent="0.25">
      <c r="A28" s="169" t="str">
        <f ca="1">"SPDO-"&amp;D28&amp;"/"&amp;E28</f>
        <v>SPDO-015/14</v>
      </c>
      <c r="B28" s="175" t="s">
        <v>379</v>
      </c>
      <c r="C28" s="102" t="s">
        <v>83</v>
      </c>
      <c r="D28" s="143" t="str" cm="1">
        <f t="array" aca="1" ref="D28" ca="1">_xlfn.LET(_xlpm.filepath,CELL("filename",D28),MID(_xlpm.filepath,FIND("]",_xlpm.filepath)+1,3))</f>
        <v>015</v>
      </c>
      <c r="E28" s="144" t="s">
        <v>112</v>
      </c>
      <c r="F28" s="104" t="str">
        <f>"DO"&amp;E28&amp;"+"</f>
        <v>DO14+</v>
      </c>
      <c r="G28" s="102" t="s">
        <v>232</v>
      </c>
      <c r="H28" s="102" t="s">
        <v>233</v>
      </c>
      <c r="I28" s="58" t="s">
        <v>417</v>
      </c>
      <c r="J28" s="102"/>
      <c r="K28" s="102"/>
      <c r="L28" s="104" t="s">
        <v>378</v>
      </c>
      <c r="M28" s="104" t="s">
        <v>439</v>
      </c>
      <c r="N28" s="104" t="str">
        <f ca="1">D28&amp;"/"&amp;F28</f>
        <v>015/DO14+</v>
      </c>
      <c r="O28" s="104" t="s">
        <v>527</v>
      </c>
      <c r="P28" s="74">
        <v>23</v>
      </c>
      <c r="Q28" s="103" t="s">
        <v>475</v>
      </c>
      <c r="R28" s="105" t="s">
        <v>91</v>
      </c>
    </row>
    <row r="29" spans="1:18" ht="18" customHeight="1" x14ac:dyDescent="0.25">
      <c r="A29" s="170"/>
      <c r="B29" s="176"/>
      <c r="C29" s="127"/>
      <c r="D29" s="145"/>
      <c r="E29" s="146"/>
      <c r="F29" s="147" t="str">
        <f>"DO"&amp;E28&amp;"-"</f>
        <v>DO14-</v>
      </c>
      <c r="G29" s="127"/>
      <c r="H29" s="127"/>
      <c r="I29" s="59" t="s">
        <v>418</v>
      </c>
      <c r="J29" s="129"/>
      <c r="K29" s="127"/>
      <c r="L29" s="147" t="s">
        <v>376</v>
      </c>
      <c r="M29" s="147" t="s">
        <v>439</v>
      </c>
      <c r="N29" s="147" t="str">
        <f ca="1">D28&amp;"/"&amp;F29</f>
        <v>015/DO14-</v>
      </c>
      <c r="O29" s="147" t="s">
        <v>527</v>
      </c>
      <c r="P29" s="75">
        <v>24</v>
      </c>
      <c r="Q29" s="128"/>
      <c r="R29" s="130"/>
    </row>
    <row r="30" spans="1:18" ht="18" customHeight="1" x14ac:dyDescent="0.25">
      <c r="A30" s="171" t="s">
        <v>313</v>
      </c>
      <c r="B30" s="177" t="s">
        <v>559</v>
      </c>
      <c r="C30" s="121" t="s">
        <v>83</v>
      </c>
      <c r="D30" s="148" t="str" cm="1">
        <f t="array" aca="1" ref="D30" ca="1">_xlfn.LET(_xlpm.filepath,CELL("filename",D30),MID(_xlpm.filepath,FIND("]",_xlpm.filepath)+1,3))</f>
        <v>015</v>
      </c>
      <c r="E30" s="149" t="s">
        <v>267</v>
      </c>
      <c r="F30" s="123" t="str">
        <f>"DO"&amp;E30&amp;"+"</f>
        <v>DO15+</v>
      </c>
      <c r="G30" s="121" t="s">
        <v>232</v>
      </c>
      <c r="H30" s="121" t="s">
        <v>233</v>
      </c>
      <c r="I30" s="53" t="s">
        <v>419</v>
      </c>
      <c r="J30" s="121" t="s">
        <v>56</v>
      </c>
      <c r="K30" s="121" t="s">
        <v>312</v>
      </c>
      <c r="L30" s="123" t="s">
        <v>378</v>
      </c>
      <c r="M30" s="123" t="s">
        <v>439</v>
      </c>
      <c r="N30" s="123" t="str">
        <f ca="1">D30&amp;"/"&amp;F30</f>
        <v>015/DO15+</v>
      </c>
      <c r="O30" s="123" t="s">
        <v>536</v>
      </c>
      <c r="P30" s="60">
        <v>3</v>
      </c>
      <c r="Q30" s="124" t="s">
        <v>475</v>
      </c>
      <c r="R30" s="150">
        <v>0</v>
      </c>
    </row>
    <row r="31" spans="1:18" ht="18" customHeight="1" thickBot="1" x14ac:dyDescent="0.3">
      <c r="A31" s="168"/>
      <c r="B31" s="174"/>
      <c r="C31" s="139"/>
      <c r="D31" s="140"/>
      <c r="E31" s="141"/>
      <c r="F31" s="117" t="str">
        <f>"DO"&amp;E30&amp;"-"</f>
        <v>DO15-</v>
      </c>
      <c r="G31" s="139"/>
      <c r="H31" s="139"/>
      <c r="I31" s="55" t="s">
        <v>420</v>
      </c>
      <c r="J31" s="139"/>
      <c r="K31" s="139"/>
      <c r="L31" s="117" t="s">
        <v>376</v>
      </c>
      <c r="M31" s="117" t="s">
        <v>439</v>
      </c>
      <c r="N31" s="117" t="str">
        <f ca="1">D30&amp;"/"&amp;F31</f>
        <v>015/DO15-</v>
      </c>
      <c r="O31" s="243" t="s">
        <v>536</v>
      </c>
      <c r="P31" s="239">
        <v>4</v>
      </c>
      <c r="Q31" s="142"/>
      <c r="R31" s="151"/>
    </row>
    <row r="32" spans="1:18" ht="18" customHeight="1" thickTop="1" x14ac:dyDescent="0.25">
      <c r="A32" s="169" t="s">
        <v>316</v>
      </c>
      <c r="B32" s="175" t="s">
        <v>558</v>
      </c>
      <c r="C32" s="102" t="s">
        <v>83</v>
      </c>
      <c r="D32" s="143" t="str" cm="1">
        <f t="array" aca="1" ref="D32" ca="1">_xlfn.LET(_xlpm.filepath,CELL("filename",D32),MID(_xlpm.filepath,FIND("]",_xlpm.filepath)+1,3))</f>
        <v>015</v>
      </c>
      <c r="E32" s="144" t="s">
        <v>118</v>
      </c>
      <c r="F32" s="104" t="str">
        <f>"DO"&amp;E32&amp;"+"</f>
        <v>DO16+</v>
      </c>
      <c r="G32" s="102" t="s">
        <v>232</v>
      </c>
      <c r="H32" s="102" t="s">
        <v>233</v>
      </c>
      <c r="I32" s="58" t="s">
        <v>421</v>
      </c>
      <c r="J32" s="102" t="s">
        <v>56</v>
      </c>
      <c r="K32" s="102" t="s">
        <v>315</v>
      </c>
      <c r="L32" s="104" t="s">
        <v>378</v>
      </c>
      <c r="M32" s="104" t="s">
        <v>439</v>
      </c>
      <c r="N32" s="104" t="str">
        <f ca="1">D32&amp;"/"&amp;F32</f>
        <v>015/DO16+</v>
      </c>
      <c r="O32" s="242" t="s">
        <v>536</v>
      </c>
      <c r="P32" s="237">
        <v>7</v>
      </c>
      <c r="Q32" s="103" t="s">
        <v>475</v>
      </c>
      <c r="R32" s="105" t="s">
        <v>91</v>
      </c>
    </row>
    <row r="33" spans="1:18" ht="18" customHeight="1" thickBot="1" x14ac:dyDescent="0.3">
      <c r="A33" s="170"/>
      <c r="B33" s="176"/>
      <c r="C33" s="127"/>
      <c r="D33" s="145"/>
      <c r="E33" s="146"/>
      <c r="F33" s="147" t="str">
        <f>"DO"&amp;E32&amp;"-"</f>
        <v>DO16-</v>
      </c>
      <c r="G33" s="127"/>
      <c r="H33" s="127"/>
      <c r="I33" s="59" t="s">
        <v>422</v>
      </c>
      <c r="J33" s="129"/>
      <c r="K33" s="127"/>
      <c r="L33" s="147" t="s">
        <v>376</v>
      </c>
      <c r="M33" s="147" t="s">
        <v>439</v>
      </c>
      <c r="N33" s="147" t="str">
        <f ca="1">D32&amp;"/"&amp;F33</f>
        <v>015/DO16-</v>
      </c>
      <c r="O33" s="241" t="s">
        <v>536</v>
      </c>
      <c r="P33" s="240">
        <v>8</v>
      </c>
      <c r="Q33" s="128"/>
      <c r="R33" s="130"/>
    </row>
    <row r="34" spans="1:18" ht="18" customHeight="1" thickTop="1" x14ac:dyDescent="0.25">
      <c r="A34" s="171" t="s">
        <v>328</v>
      </c>
      <c r="B34" s="177" t="s">
        <v>557</v>
      </c>
      <c r="C34" s="121" t="s">
        <v>83</v>
      </c>
      <c r="D34" s="148" t="str" cm="1">
        <f t="array" aca="1" ref="D34" ca="1">_xlfn.LET(_xlpm.filepath,CELL("filename",D34),MID(_xlpm.filepath,FIND("]",_xlpm.filepath)+1,3))</f>
        <v>015</v>
      </c>
      <c r="E34" s="149" t="s">
        <v>270</v>
      </c>
      <c r="F34" s="123" t="str">
        <f>"DO"&amp;E34&amp;"+"</f>
        <v>DO17+</v>
      </c>
      <c r="G34" s="121" t="s">
        <v>232</v>
      </c>
      <c r="H34" s="121" t="s">
        <v>233</v>
      </c>
      <c r="I34" s="53" t="s">
        <v>423</v>
      </c>
      <c r="J34" s="121" t="s">
        <v>56</v>
      </c>
      <c r="K34" s="121" t="s">
        <v>327</v>
      </c>
      <c r="L34" s="123" t="s">
        <v>378</v>
      </c>
      <c r="M34" s="123" t="s">
        <v>439</v>
      </c>
      <c r="N34" s="123" t="str">
        <f ca="1">D34&amp;"/"&amp;F34</f>
        <v>015/DO17+</v>
      </c>
      <c r="O34" s="217" t="s">
        <v>536</v>
      </c>
      <c r="P34" s="238">
        <v>11</v>
      </c>
      <c r="Q34" s="124" t="s">
        <v>475</v>
      </c>
      <c r="R34" s="150">
        <v>0</v>
      </c>
    </row>
    <row r="35" spans="1:18" ht="18" customHeight="1" thickBot="1" x14ac:dyDescent="0.3">
      <c r="A35" s="168"/>
      <c r="B35" s="174"/>
      <c r="C35" s="139"/>
      <c r="D35" s="140"/>
      <c r="E35" s="141"/>
      <c r="F35" s="117" t="str">
        <f>"DO"&amp;E34&amp;"-"</f>
        <v>DO17-</v>
      </c>
      <c r="G35" s="139"/>
      <c r="H35" s="139"/>
      <c r="I35" s="55" t="s">
        <v>424</v>
      </c>
      <c r="J35" s="139"/>
      <c r="K35" s="139"/>
      <c r="L35" s="117" t="s">
        <v>376</v>
      </c>
      <c r="M35" s="117" t="s">
        <v>439</v>
      </c>
      <c r="N35" s="117" t="str">
        <f ca="1">D34&amp;"/"&amp;F35</f>
        <v>015/DO17-</v>
      </c>
      <c r="O35" s="243" t="s">
        <v>536</v>
      </c>
      <c r="P35" s="239">
        <v>12</v>
      </c>
      <c r="Q35" s="142"/>
      <c r="R35" s="151"/>
    </row>
    <row r="36" spans="1:18" ht="18" customHeight="1" thickTop="1" x14ac:dyDescent="0.25">
      <c r="A36" s="169" t="s">
        <v>331</v>
      </c>
      <c r="B36" s="175" t="s">
        <v>556</v>
      </c>
      <c r="C36" s="102" t="s">
        <v>83</v>
      </c>
      <c r="D36" s="143" t="str" cm="1">
        <f t="array" aca="1" ref="D36" ca="1">_xlfn.LET(_xlpm.filepath,CELL("filename",D36),MID(_xlpm.filepath,FIND("]",_xlpm.filepath)+1,3))</f>
        <v>015</v>
      </c>
      <c r="E36" s="144" t="s">
        <v>123</v>
      </c>
      <c r="F36" s="104" t="str">
        <f>"DO"&amp;E36&amp;"+"</f>
        <v>DO18+</v>
      </c>
      <c r="G36" s="102" t="s">
        <v>232</v>
      </c>
      <c r="H36" s="102" t="s">
        <v>233</v>
      </c>
      <c r="I36" s="58" t="s">
        <v>425</v>
      </c>
      <c r="J36" s="102" t="s">
        <v>56</v>
      </c>
      <c r="K36" s="102" t="s">
        <v>330</v>
      </c>
      <c r="L36" s="104" t="s">
        <v>378</v>
      </c>
      <c r="M36" s="104" t="s">
        <v>439</v>
      </c>
      <c r="N36" s="104" t="str">
        <f ca="1">D36&amp;"/"&amp;F36</f>
        <v>015/DO18+</v>
      </c>
      <c r="O36" s="242" t="s">
        <v>536</v>
      </c>
      <c r="P36" s="237">
        <v>15</v>
      </c>
      <c r="Q36" s="103" t="s">
        <v>475</v>
      </c>
      <c r="R36" s="105" t="s">
        <v>91</v>
      </c>
    </row>
    <row r="37" spans="1:18" ht="18" customHeight="1" thickBot="1" x14ac:dyDescent="0.3">
      <c r="A37" s="170"/>
      <c r="B37" s="176"/>
      <c r="C37" s="127"/>
      <c r="D37" s="145"/>
      <c r="E37" s="146"/>
      <c r="F37" s="147" t="str">
        <f>"DO"&amp;E36&amp;"-"</f>
        <v>DO18-</v>
      </c>
      <c r="G37" s="127"/>
      <c r="H37" s="127"/>
      <c r="I37" s="59" t="s">
        <v>426</v>
      </c>
      <c r="J37" s="129"/>
      <c r="K37" s="127"/>
      <c r="L37" s="147" t="s">
        <v>376</v>
      </c>
      <c r="M37" s="147" t="s">
        <v>439</v>
      </c>
      <c r="N37" s="147" t="str">
        <f ca="1">D36&amp;"/"&amp;F37</f>
        <v>015/DO18-</v>
      </c>
      <c r="O37" s="241" t="s">
        <v>536</v>
      </c>
      <c r="P37" s="240">
        <v>16</v>
      </c>
      <c r="Q37" s="128"/>
      <c r="R37" s="130"/>
    </row>
    <row r="38" spans="1:18" ht="18" customHeight="1" thickTop="1" x14ac:dyDescent="0.25">
      <c r="A38" s="171" t="s">
        <v>555</v>
      </c>
      <c r="B38" s="177" t="s">
        <v>554</v>
      </c>
      <c r="C38" s="121" t="s">
        <v>83</v>
      </c>
      <c r="D38" s="148" t="str" cm="1">
        <f t="array" aca="1" ref="D38" ca="1">_xlfn.LET(_xlpm.filepath,CELL("filename",D38),MID(_xlpm.filepath,FIND("]",_xlpm.filepath)+1,3))</f>
        <v>015</v>
      </c>
      <c r="E38" s="149" t="s">
        <v>275</v>
      </c>
      <c r="F38" s="123" t="str">
        <f>"DO"&amp;E38&amp;"+"</f>
        <v>DO19+</v>
      </c>
      <c r="G38" s="121" t="s">
        <v>232</v>
      </c>
      <c r="H38" s="121" t="s">
        <v>233</v>
      </c>
      <c r="I38" s="53" t="s">
        <v>427</v>
      </c>
      <c r="J38" s="121" t="s">
        <v>56</v>
      </c>
      <c r="K38" s="121" t="s">
        <v>540</v>
      </c>
      <c r="L38" s="123" t="s">
        <v>378</v>
      </c>
      <c r="M38" s="123" t="s">
        <v>439</v>
      </c>
      <c r="N38" s="123" t="str">
        <f ca="1">D38&amp;"/"&amp;F38</f>
        <v>015/DO19+</v>
      </c>
      <c r="O38" s="217" t="s">
        <v>536</v>
      </c>
      <c r="P38" s="238">
        <v>19</v>
      </c>
      <c r="Q38" s="124" t="s">
        <v>475</v>
      </c>
      <c r="R38" s="150">
        <v>0</v>
      </c>
    </row>
    <row r="39" spans="1:18" ht="18" customHeight="1" thickBot="1" x14ac:dyDescent="0.3">
      <c r="A39" s="168"/>
      <c r="B39" s="174"/>
      <c r="C39" s="139"/>
      <c r="D39" s="140"/>
      <c r="E39" s="141"/>
      <c r="F39" s="117" t="str">
        <f>"DO"&amp;E38&amp;"-"</f>
        <v>DO19-</v>
      </c>
      <c r="G39" s="139"/>
      <c r="H39" s="139"/>
      <c r="I39" s="55" t="s">
        <v>428</v>
      </c>
      <c r="J39" s="139"/>
      <c r="K39" s="139"/>
      <c r="L39" s="117" t="s">
        <v>376</v>
      </c>
      <c r="M39" s="117" t="s">
        <v>439</v>
      </c>
      <c r="N39" s="117" t="str">
        <f ca="1">D38&amp;"/"&amp;F39</f>
        <v>015/DO19-</v>
      </c>
      <c r="O39" s="243" t="s">
        <v>536</v>
      </c>
      <c r="P39" s="239">
        <v>20</v>
      </c>
      <c r="Q39" s="142"/>
      <c r="R39" s="151"/>
    </row>
    <row r="40" spans="1:18" ht="18" customHeight="1" thickTop="1" x14ac:dyDescent="0.25">
      <c r="A40" s="169" t="s">
        <v>553</v>
      </c>
      <c r="B40" s="175" t="s">
        <v>552</v>
      </c>
      <c r="C40" s="102" t="s">
        <v>83</v>
      </c>
      <c r="D40" s="143" t="str" cm="1">
        <f t="array" aca="1" ref="D40" ca="1">_xlfn.LET(_xlpm.filepath,CELL("filename",D40),MID(_xlpm.filepath,FIND("]",_xlpm.filepath)+1,3))</f>
        <v>015</v>
      </c>
      <c r="E40" s="144" t="s">
        <v>128</v>
      </c>
      <c r="F40" s="104" t="str">
        <f>"DO"&amp;E40&amp;"+"</f>
        <v>DO20+</v>
      </c>
      <c r="G40" s="102" t="s">
        <v>232</v>
      </c>
      <c r="H40" s="102" t="s">
        <v>233</v>
      </c>
      <c r="I40" s="58" t="s">
        <v>429</v>
      </c>
      <c r="J40" s="102" t="s">
        <v>56</v>
      </c>
      <c r="K40" s="102" t="s">
        <v>537</v>
      </c>
      <c r="L40" s="104" t="s">
        <v>378</v>
      </c>
      <c r="M40" s="104" t="s">
        <v>439</v>
      </c>
      <c r="N40" s="104" t="str">
        <f ca="1">D40&amp;"/"&amp;F40</f>
        <v>015/DO20+</v>
      </c>
      <c r="O40" s="242" t="s">
        <v>536</v>
      </c>
      <c r="P40" s="237">
        <v>23</v>
      </c>
      <c r="Q40" s="103" t="s">
        <v>475</v>
      </c>
      <c r="R40" s="105" t="s">
        <v>91</v>
      </c>
    </row>
    <row r="41" spans="1:18" ht="18" customHeight="1" x14ac:dyDescent="0.25">
      <c r="A41" s="170"/>
      <c r="B41" s="176"/>
      <c r="C41" s="127"/>
      <c r="D41" s="145"/>
      <c r="E41" s="146"/>
      <c r="F41" s="147" t="str">
        <f>"DO"&amp;E40&amp;"-"</f>
        <v>DO20-</v>
      </c>
      <c r="G41" s="127"/>
      <c r="H41" s="127"/>
      <c r="I41" s="59" t="s">
        <v>430</v>
      </c>
      <c r="J41" s="129"/>
      <c r="K41" s="127"/>
      <c r="L41" s="147" t="s">
        <v>376</v>
      </c>
      <c r="M41" s="147" t="s">
        <v>439</v>
      </c>
      <c r="N41" s="147" t="str">
        <f ca="1">D40&amp;"/"&amp;F41</f>
        <v>015/DO20-</v>
      </c>
      <c r="O41" s="147" t="s">
        <v>536</v>
      </c>
      <c r="P41" s="75">
        <v>24</v>
      </c>
      <c r="Q41" s="128"/>
      <c r="R41" s="130"/>
    </row>
    <row r="42" spans="1:18" ht="18" customHeight="1" x14ac:dyDescent="0.25">
      <c r="A42" s="119" t="str">
        <f ca="1">"SPDO-"&amp;D42&amp;"/"&amp;E42</f>
        <v>SPDO-015/21</v>
      </c>
      <c r="B42" s="177" t="s">
        <v>379</v>
      </c>
      <c r="C42" s="121" t="s">
        <v>83</v>
      </c>
      <c r="D42" s="148" t="str" cm="1">
        <f t="array" aca="1" ref="D42" ca="1">_xlfn.LET(_xlpm.filepath,CELL("filename",D42),MID(_xlpm.filepath,FIND("]",_xlpm.filepath)+1,3))</f>
        <v>015</v>
      </c>
      <c r="E42" s="149" t="s">
        <v>280</v>
      </c>
      <c r="F42" s="123" t="str">
        <f>"DO"&amp;E42&amp;"+"</f>
        <v>DO21+</v>
      </c>
      <c r="G42" s="121" t="s">
        <v>232</v>
      </c>
      <c r="H42" s="121" t="s">
        <v>233</v>
      </c>
      <c r="I42" s="53" t="s">
        <v>431</v>
      </c>
      <c r="J42" s="121"/>
      <c r="K42" s="121"/>
      <c r="L42" s="123" t="s">
        <v>378</v>
      </c>
      <c r="M42" s="123" t="s">
        <v>439</v>
      </c>
      <c r="N42" s="123" t="str">
        <f ca="1">D42&amp;"/"&amp;F42</f>
        <v>015/DO21+</v>
      </c>
      <c r="O42" s="123" t="s">
        <v>527</v>
      </c>
      <c r="P42" s="60">
        <v>25</v>
      </c>
      <c r="Q42" s="124" t="s">
        <v>475</v>
      </c>
      <c r="R42" s="150">
        <v>0</v>
      </c>
    </row>
    <row r="43" spans="1:18" ht="18" customHeight="1" x14ac:dyDescent="0.25">
      <c r="A43" s="137"/>
      <c r="B43" s="174"/>
      <c r="C43" s="139"/>
      <c r="D43" s="140"/>
      <c r="E43" s="141"/>
      <c r="F43" s="117" t="str">
        <f>"DO"&amp;E42&amp;"-"</f>
        <v>DO21-</v>
      </c>
      <c r="G43" s="139"/>
      <c r="H43" s="139"/>
      <c r="I43" s="55" t="s">
        <v>432</v>
      </c>
      <c r="J43" s="139"/>
      <c r="K43" s="139"/>
      <c r="L43" s="117" t="s">
        <v>376</v>
      </c>
      <c r="M43" s="117" t="s">
        <v>439</v>
      </c>
      <c r="N43" s="117" t="str">
        <f ca="1">D42&amp;"/"&amp;F43</f>
        <v>015/DO21-</v>
      </c>
      <c r="O43" s="117" t="s">
        <v>527</v>
      </c>
      <c r="P43" s="73">
        <v>26</v>
      </c>
      <c r="Q43" s="142"/>
      <c r="R43" s="151"/>
    </row>
    <row r="44" spans="1:18" ht="18" customHeight="1" x14ac:dyDescent="0.25">
      <c r="A44" s="100" t="str">
        <f ca="1">"SPDO-"&amp;D44&amp;"/"&amp;E44</f>
        <v>SPDO-015/22</v>
      </c>
      <c r="B44" s="175" t="s">
        <v>379</v>
      </c>
      <c r="C44" s="102" t="s">
        <v>83</v>
      </c>
      <c r="D44" s="143" t="str" cm="1">
        <f t="array" aca="1" ref="D44" ca="1">_xlfn.LET(_xlpm.filepath,CELL("filename",D44),MID(_xlpm.filepath,FIND("]",_xlpm.filepath)+1,3))</f>
        <v>015</v>
      </c>
      <c r="E44" s="144" t="s">
        <v>132</v>
      </c>
      <c r="F44" s="104" t="str">
        <f>"DO"&amp;E44&amp;"+"</f>
        <v>DO22+</v>
      </c>
      <c r="G44" s="102" t="s">
        <v>232</v>
      </c>
      <c r="H44" s="102" t="s">
        <v>233</v>
      </c>
      <c r="I44" s="58" t="s">
        <v>433</v>
      </c>
      <c r="J44" s="102"/>
      <c r="K44" s="102"/>
      <c r="L44" s="104" t="s">
        <v>378</v>
      </c>
      <c r="M44" s="104" t="s">
        <v>439</v>
      </c>
      <c r="N44" s="104" t="str">
        <f ca="1">D44&amp;"/"&amp;F44</f>
        <v>015/DO22+</v>
      </c>
      <c r="O44" s="104" t="s">
        <v>527</v>
      </c>
      <c r="P44" s="74">
        <v>27</v>
      </c>
      <c r="Q44" s="103" t="s">
        <v>475</v>
      </c>
      <c r="R44" s="105" t="s">
        <v>91</v>
      </c>
    </row>
    <row r="45" spans="1:18" ht="18" customHeight="1" x14ac:dyDescent="0.25">
      <c r="A45" s="125"/>
      <c r="B45" s="176"/>
      <c r="C45" s="127"/>
      <c r="D45" s="145"/>
      <c r="E45" s="146"/>
      <c r="F45" s="147" t="str">
        <f>"DO"&amp;E44&amp;"-"</f>
        <v>DO22-</v>
      </c>
      <c r="G45" s="127"/>
      <c r="H45" s="127"/>
      <c r="I45" s="59" t="s">
        <v>434</v>
      </c>
      <c r="J45" s="129"/>
      <c r="K45" s="127"/>
      <c r="L45" s="147" t="s">
        <v>376</v>
      </c>
      <c r="M45" s="147" t="s">
        <v>439</v>
      </c>
      <c r="N45" s="147" t="str">
        <f ca="1">D44&amp;"/"&amp;F45</f>
        <v>015/DO22-</v>
      </c>
      <c r="O45" s="147" t="s">
        <v>527</v>
      </c>
      <c r="P45" s="75">
        <v>28</v>
      </c>
      <c r="Q45" s="128"/>
      <c r="R45" s="130"/>
    </row>
    <row r="46" spans="1:18" ht="18" customHeight="1" x14ac:dyDescent="0.25">
      <c r="A46" s="119" t="str">
        <f ca="1">"SPDO-"&amp;D46&amp;"/"&amp;E46</f>
        <v>SPDO-015/23</v>
      </c>
      <c r="B46" s="177" t="s">
        <v>379</v>
      </c>
      <c r="C46" s="121" t="s">
        <v>83</v>
      </c>
      <c r="D46" s="148" t="str" cm="1">
        <f t="array" aca="1" ref="D46" ca="1">_xlfn.LET(_xlpm.filepath,CELL("filename",D46),MID(_xlpm.filepath,FIND("]",_xlpm.filepath)+1,3))</f>
        <v>015</v>
      </c>
      <c r="E46" s="149" t="s">
        <v>283</v>
      </c>
      <c r="F46" s="123" t="str">
        <f>"DO"&amp;E46&amp;"+"</f>
        <v>DO23+</v>
      </c>
      <c r="G46" s="121" t="s">
        <v>232</v>
      </c>
      <c r="H46" s="121" t="s">
        <v>233</v>
      </c>
      <c r="I46" s="53" t="s">
        <v>435</v>
      </c>
      <c r="J46" s="121"/>
      <c r="K46" s="121"/>
      <c r="L46" s="123" t="s">
        <v>378</v>
      </c>
      <c r="M46" s="123" t="s">
        <v>439</v>
      </c>
      <c r="N46" s="123" t="str">
        <f ca="1">D46&amp;"/"&amp;F46</f>
        <v>015/DO23+</v>
      </c>
      <c r="O46" s="123" t="s">
        <v>527</v>
      </c>
      <c r="P46" s="60">
        <v>29</v>
      </c>
      <c r="Q46" s="124" t="s">
        <v>475</v>
      </c>
      <c r="R46" s="150">
        <v>0</v>
      </c>
    </row>
    <row r="47" spans="1:18" ht="18" customHeight="1" x14ac:dyDescent="0.25">
      <c r="A47" s="137"/>
      <c r="B47" s="174"/>
      <c r="C47" s="139"/>
      <c r="D47" s="140"/>
      <c r="E47" s="141"/>
      <c r="F47" s="117" t="str">
        <f>"DO"&amp;E46&amp;"-"</f>
        <v>DO23-</v>
      </c>
      <c r="G47" s="139"/>
      <c r="H47" s="139"/>
      <c r="I47" s="55" t="s">
        <v>436</v>
      </c>
      <c r="J47" s="139"/>
      <c r="K47" s="139"/>
      <c r="L47" s="117" t="s">
        <v>376</v>
      </c>
      <c r="M47" s="117" t="s">
        <v>439</v>
      </c>
      <c r="N47" s="117" t="str">
        <f ca="1">D46&amp;"/"&amp;F47</f>
        <v>015/DO23-</v>
      </c>
      <c r="O47" s="117" t="s">
        <v>527</v>
      </c>
      <c r="P47" s="73">
        <v>30</v>
      </c>
      <c r="Q47" s="142"/>
      <c r="R47" s="151"/>
    </row>
    <row r="48" spans="1:18" ht="18" customHeight="1" x14ac:dyDescent="0.25">
      <c r="A48" s="100" t="s">
        <v>474</v>
      </c>
      <c r="B48" s="175" t="s">
        <v>379</v>
      </c>
      <c r="C48" s="102" t="s">
        <v>83</v>
      </c>
      <c r="D48" s="143" t="str" cm="1">
        <f t="array" aca="1" ref="D48" ca="1">_xlfn.LET(_xlpm.filepath,CELL("filename",D48),MID(_xlpm.filepath,FIND("]",_xlpm.filepath)+1,3))</f>
        <v>015</v>
      </c>
      <c r="E48" s="144" t="s">
        <v>137</v>
      </c>
      <c r="F48" s="104" t="str">
        <f>"DO"&amp;E48&amp;"+"</f>
        <v>DO24+</v>
      </c>
      <c r="G48" s="102" t="s">
        <v>232</v>
      </c>
      <c r="H48" s="102" t="s">
        <v>233</v>
      </c>
      <c r="I48" s="58" t="s">
        <v>437</v>
      </c>
      <c r="J48" s="102"/>
      <c r="K48" s="102"/>
      <c r="L48" s="104" t="s">
        <v>378</v>
      </c>
      <c r="M48" s="220" t="s">
        <v>439</v>
      </c>
      <c r="N48" s="104" t="str">
        <f ca="1">D48&amp;"/"&amp;F48</f>
        <v>015/DO24+</v>
      </c>
      <c r="O48" s="104" t="s">
        <v>527</v>
      </c>
      <c r="P48" s="74">
        <v>31</v>
      </c>
      <c r="Q48" s="103" t="s">
        <v>475</v>
      </c>
      <c r="R48" s="105" t="s">
        <v>91</v>
      </c>
    </row>
    <row r="49" spans="1:18" ht="18" customHeight="1" thickBot="1" x14ac:dyDescent="0.3">
      <c r="A49" s="153"/>
      <c r="B49" s="178"/>
      <c r="C49" s="155"/>
      <c r="D49" s="156"/>
      <c r="E49" s="157"/>
      <c r="F49" s="118" t="str">
        <f>"DO"&amp;E48&amp;"-"</f>
        <v>DO24-</v>
      </c>
      <c r="G49" s="155"/>
      <c r="H49" s="155"/>
      <c r="I49" s="62" t="s">
        <v>438</v>
      </c>
      <c r="J49" s="159"/>
      <c r="K49" s="155"/>
      <c r="L49" s="118" t="s">
        <v>376</v>
      </c>
      <c r="M49" s="118" t="s">
        <v>439</v>
      </c>
      <c r="N49" s="118" t="str">
        <f ca="1">D48&amp;"/"&amp;F49</f>
        <v>015/DO24-</v>
      </c>
      <c r="O49" s="118" t="s">
        <v>527</v>
      </c>
      <c r="P49" s="76">
        <v>32</v>
      </c>
      <c r="Q49" s="160"/>
      <c r="R49" s="161"/>
    </row>
  </sheetData>
  <pageMargins left="0.23622047244094491" right="0.23622047244094491" top="0.74803149606299213" bottom="0.74803149606299213" header="0.31496062992125984" footer="0.31496062992125984"/>
  <pageSetup paperSize="8" scale="74" orientation="landscape" verticalDpi="1200" r:id="rId1"/>
  <headerFooter scaleWithDoc="0">
    <oddHeader>&amp;CSlot/Type: &amp;A</oddHeader>
    <oddFooter>&amp;L&amp;F&amp;R&amp;P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5591-E055-4E00-8289-422807E99183}">
  <sheetPr>
    <pageSetUpPr fitToPage="1"/>
  </sheetPr>
  <dimension ref="A1:R49"/>
  <sheetViews>
    <sheetView tabSelected="1" view="pageBreakPreview" topLeftCell="A14" zoomScaleNormal="100" zoomScaleSheetLayoutView="100" workbookViewId="0">
      <selection activeCell="M30" sqref="M30"/>
    </sheetView>
  </sheetViews>
  <sheetFormatPr defaultRowHeight="15" x14ac:dyDescent="0.25"/>
  <cols>
    <col min="1" max="1" width="21.42578125" customWidth="1"/>
    <col min="2" max="2" width="57.140625" style="13" customWidth="1"/>
    <col min="4" max="4" width="9.140625" style="51"/>
    <col min="5" max="5" width="9.140625" style="50"/>
    <col min="7" max="7" width="11.140625" customWidth="1"/>
    <col min="8" max="8" width="14.140625" customWidth="1"/>
    <col min="9" max="9" width="8.5703125" customWidth="1"/>
    <col min="10" max="10" width="19.5703125" bestFit="1" customWidth="1"/>
    <col min="11" max="11" width="18.85546875" customWidth="1"/>
    <col min="13" max="13" width="15.7109375" bestFit="1" customWidth="1"/>
    <col min="14" max="14" width="13.28515625" customWidth="1"/>
    <col min="15" max="15" width="14.42578125" customWidth="1"/>
    <col min="16" max="16" width="7.140625" style="12" customWidth="1"/>
    <col min="17" max="17" width="8" customWidth="1"/>
    <col min="249" max="249" width="21.42578125" customWidth="1"/>
    <col min="250" max="250" width="57.140625" customWidth="1"/>
    <col min="255" max="255" width="11.140625" customWidth="1"/>
    <col min="256" max="256" width="14.140625" customWidth="1"/>
    <col min="257" max="257" width="14.42578125" customWidth="1"/>
    <col min="258" max="258" width="14.28515625" customWidth="1"/>
    <col min="260" max="265" width="13.28515625" customWidth="1"/>
    <col min="266" max="266" width="14.42578125" customWidth="1"/>
    <col min="267" max="267" width="7.140625" customWidth="1"/>
    <col min="268" max="268" width="8" customWidth="1"/>
    <col min="505" max="505" width="21.42578125" customWidth="1"/>
    <col min="506" max="506" width="57.140625" customWidth="1"/>
    <col min="511" max="511" width="11.140625" customWidth="1"/>
    <col min="512" max="512" width="14.140625" customWidth="1"/>
    <col min="513" max="513" width="14.42578125" customWidth="1"/>
    <col min="514" max="514" width="14.28515625" customWidth="1"/>
    <col min="516" max="521" width="13.28515625" customWidth="1"/>
    <col min="522" max="522" width="14.42578125" customWidth="1"/>
    <col min="523" max="523" width="7.140625" customWidth="1"/>
    <col min="524" max="524" width="8" customWidth="1"/>
    <col min="761" max="761" width="21.42578125" customWidth="1"/>
    <col min="762" max="762" width="57.140625" customWidth="1"/>
    <col min="767" max="767" width="11.140625" customWidth="1"/>
    <col min="768" max="768" width="14.140625" customWidth="1"/>
    <col min="769" max="769" width="14.42578125" customWidth="1"/>
    <col min="770" max="770" width="14.28515625" customWidth="1"/>
    <col min="772" max="777" width="13.28515625" customWidth="1"/>
    <col min="778" max="778" width="14.42578125" customWidth="1"/>
    <col min="779" max="779" width="7.140625" customWidth="1"/>
    <col min="780" max="780" width="8" customWidth="1"/>
    <col min="1017" max="1017" width="21.42578125" customWidth="1"/>
    <col min="1018" max="1018" width="57.140625" customWidth="1"/>
    <col min="1023" max="1023" width="11.140625" customWidth="1"/>
    <col min="1024" max="1024" width="14.140625" customWidth="1"/>
    <col min="1025" max="1025" width="14.42578125" customWidth="1"/>
    <col min="1026" max="1026" width="14.28515625" customWidth="1"/>
    <col min="1028" max="1033" width="13.28515625" customWidth="1"/>
    <col min="1034" max="1034" width="14.42578125" customWidth="1"/>
    <col min="1035" max="1035" width="7.140625" customWidth="1"/>
    <col min="1036" max="1036" width="8" customWidth="1"/>
    <col min="1273" max="1273" width="21.42578125" customWidth="1"/>
    <col min="1274" max="1274" width="57.140625" customWidth="1"/>
    <col min="1279" max="1279" width="11.140625" customWidth="1"/>
    <col min="1280" max="1280" width="14.140625" customWidth="1"/>
    <col min="1281" max="1281" width="14.42578125" customWidth="1"/>
    <col min="1282" max="1282" width="14.28515625" customWidth="1"/>
    <col min="1284" max="1289" width="13.28515625" customWidth="1"/>
    <col min="1290" max="1290" width="14.42578125" customWidth="1"/>
    <col min="1291" max="1291" width="7.140625" customWidth="1"/>
    <col min="1292" max="1292" width="8" customWidth="1"/>
    <col min="1529" max="1529" width="21.42578125" customWidth="1"/>
    <col min="1530" max="1530" width="57.140625" customWidth="1"/>
    <col min="1535" max="1535" width="11.140625" customWidth="1"/>
    <col min="1536" max="1536" width="14.140625" customWidth="1"/>
    <col min="1537" max="1537" width="14.42578125" customWidth="1"/>
    <col min="1538" max="1538" width="14.28515625" customWidth="1"/>
    <col min="1540" max="1545" width="13.28515625" customWidth="1"/>
    <col min="1546" max="1546" width="14.42578125" customWidth="1"/>
    <col min="1547" max="1547" width="7.140625" customWidth="1"/>
    <col min="1548" max="1548" width="8" customWidth="1"/>
    <col min="1785" max="1785" width="21.42578125" customWidth="1"/>
    <col min="1786" max="1786" width="57.140625" customWidth="1"/>
    <col min="1791" max="1791" width="11.140625" customWidth="1"/>
    <col min="1792" max="1792" width="14.140625" customWidth="1"/>
    <col min="1793" max="1793" width="14.42578125" customWidth="1"/>
    <col min="1794" max="1794" width="14.28515625" customWidth="1"/>
    <col min="1796" max="1801" width="13.28515625" customWidth="1"/>
    <col min="1802" max="1802" width="14.42578125" customWidth="1"/>
    <col min="1803" max="1803" width="7.140625" customWidth="1"/>
    <col min="1804" max="1804" width="8" customWidth="1"/>
    <col min="2041" max="2041" width="21.42578125" customWidth="1"/>
    <col min="2042" max="2042" width="57.140625" customWidth="1"/>
    <col min="2047" max="2047" width="11.140625" customWidth="1"/>
    <col min="2048" max="2048" width="14.140625" customWidth="1"/>
    <col min="2049" max="2049" width="14.42578125" customWidth="1"/>
    <col min="2050" max="2050" width="14.28515625" customWidth="1"/>
    <col min="2052" max="2057" width="13.28515625" customWidth="1"/>
    <col min="2058" max="2058" width="14.42578125" customWidth="1"/>
    <col min="2059" max="2059" width="7.140625" customWidth="1"/>
    <col min="2060" max="2060" width="8" customWidth="1"/>
    <col min="2297" max="2297" width="21.42578125" customWidth="1"/>
    <col min="2298" max="2298" width="57.140625" customWidth="1"/>
    <col min="2303" max="2303" width="11.140625" customWidth="1"/>
    <col min="2304" max="2304" width="14.140625" customWidth="1"/>
    <col min="2305" max="2305" width="14.42578125" customWidth="1"/>
    <col min="2306" max="2306" width="14.28515625" customWidth="1"/>
    <col min="2308" max="2313" width="13.28515625" customWidth="1"/>
    <col min="2314" max="2314" width="14.42578125" customWidth="1"/>
    <col min="2315" max="2315" width="7.140625" customWidth="1"/>
    <col min="2316" max="2316" width="8" customWidth="1"/>
    <col min="2553" max="2553" width="21.42578125" customWidth="1"/>
    <col min="2554" max="2554" width="57.140625" customWidth="1"/>
    <col min="2559" max="2559" width="11.140625" customWidth="1"/>
    <col min="2560" max="2560" width="14.140625" customWidth="1"/>
    <col min="2561" max="2561" width="14.42578125" customWidth="1"/>
    <col min="2562" max="2562" width="14.28515625" customWidth="1"/>
    <col min="2564" max="2569" width="13.28515625" customWidth="1"/>
    <col min="2570" max="2570" width="14.42578125" customWidth="1"/>
    <col min="2571" max="2571" width="7.140625" customWidth="1"/>
    <col min="2572" max="2572" width="8" customWidth="1"/>
    <col min="2809" max="2809" width="21.42578125" customWidth="1"/>
    <col min="2810" max="2810" width="57.140625" customWidth="1"/>
    <col min="2815" max="2815" width="11.140625" customWidth="1"/>
    <col min="2816" max="2816" width="14.140625" customWidth="1"/>
    <col min="2817" max="2817" width="14.42578125" customWidth="1"/>
    <col min="2818" max="2818" width="14.28515625" customWidth="1"/>
    <col min="2820" max="2825" width="13.28515625" customWidth="1"/>
    <col min="2826" max="2826" width="14.42578125" customWidth="1"/>
    <col min="2827" max="2827" width="7.140625" customWidth="1"/>
    <col min="2828" max="2828" width="8" customWidth="1"/>
    <col min="3065" max="3065" width="21.42578125" customWidth="1"/>
    <col min="3066" max="3066" width="57.140625" customWidth="1"/>
    <col min="3071" max="3071" width="11.140625" customWidth="1"/>
    <col min="3072" max="3072" width="14.140625" customWidth="1"/>
    <col min="3073" max="3073" width="14.42578125" customWidth="1"/>
    <col min="3074" max="3074" width="14.28515625" customWidth="1"/>
    <col min="3076" max="3081" width="13.28515625" customWidth="1"/>
    <col min="3082" max="3082" width="14.42578125" customWidth="1"/>
    <col min="3083" max="3083" width="7.140625" customWidth="1"/>
    <col min="3084" max="3084" width="8" customWidth="1"/>
    <col min="3321" max="3321" width="21.42578125" customWidth="1"/>
    <col min="3322" max="3322" width="57.140625" customWidth="1"/>
    <col min="3327" max="3327" width="11.140625" customWidth="1"/>
    <col min="3328" max="3328" width="14.140625" customWidth="1"/>
    <col min="3329" max="3329" width="14.42578125" customWidth="1"/>
    <col min="3330" max="3330" width="14.28515625" customWidth="1"/>
    <col min="3332" max="3337" width="13.28515625" customWidth="1"/>
    <col min="3338" max="3338" width="14.42578125" customWidth="1"/>
    <col min="3339" max="3339" width="7.140625" customWidth="1"/>
    <col min="3340" max="3340" width="8" customWidth="1"/>
    <col min="3577" max="3577" width="21.42578125" customWidth="1"/>
    <col min="3578" max="3578" width="57.140625" customWidth="1"/>
    <col min="3583" max="3583" width="11.140625" customWidth="1"/>
    <col min="3584" max="3584" width="14.140625" customWidth="1"/>
    <col min="3585" max="3585" width="14.42578125" customWidth="1"/>
    <col min="3586" max="3586" width="14.28515625" customWidth="1"/>
    <col min="3588" max="3593" width="13.28515625" customWidth="1"/>
    <col min="3594" max="3594" width="14.42578125" customWidth="1"/>
    <col min="3595" max="3595" width="7.140625" customWidth="1"/>
    <col min="3596" max="3596" width="8" customWidth="1"/>
    <col min="3833" max="3833" width="21.42578125" customWidth="1"/>
    <col min="3834" max="3834" width="57.140625" customWidth="1"/>
    <col min="3839" max="3839" width="11.140625" customWidth="1"/>
    <col min="3840" max="3840" width="14.140625" customWidth="1"/>
    <col min="3841" max="3841" width="14.42578125" customWidth="1"/>
    <col min="3842" max="3842" width="14.28515625" customWidth="1"/>
    <col min="3844" max="3849" width="13.28515625" customWidth="1"/>
    <col min="3850" max="3850" width="14.42578125" customWidth="1"/>
    <col min="3851" max="3851" width="7.140625" customWidth="1"/>
    <col min="3852" max="3852" width="8" customWidth="1"/>
    <col min="4089" max="4089" width="21.42578125" customWidth="1"/>
    <col min="4090" max="4090" width="57.140625" customWidth="1"/>
    <col min="4095" max="4095" width="11.140625" customWidth="1"/>
    <col min="4096" max="4096" width="14.140625" customWidth="1"/>
    <col min="4097" max="4097" width="14.42578125" customWidth="1"/>
    <col min="4098" max="4098" width="14.28515625" customWidth="1"/>
    <col min="4100" max="4105" width="13.28515625" customWidth="1"/>
    <col min="4106" max="4106" width="14.42578125" customWidth="1"/>
    <col min="4107" max="4107" width="7.140625" customWidth="1"/>
    <col min="4108" max="4108" width="8" customWidth="1"/>
    <col min="4345" max="4345" width="21.42578125" customWidth="1"/>
    <col min="4346" max="4346" width="57.140625" customWidth="1"/>
    <col min="4351" max="4351" width="11.140625" customWidth="1"/>
    <col min="4352" max="4352" width="14.140625" customWidth="1"/>
    <col min="4353" max="4353" width="14.42578125" customWidth="1"/>
    <col min="4354" max="4354" width="14.28515625" customWidth="1"/>
    <col min="4356" max="4361" width="13.28515625" customWidth="1"/>
    <col min="4362" max="4362" width="14.42578125" customWidth="1"/>
    <col min="4363" max="4363" width="7.140625" customWidth="1"/>
    <col min="4364" max="4364" width="8" customWidth="1"/>
    <col min="4601" max="4601" width="21.42578125" customWidth="1"/>
    <col min="4602" max="4602" width="57.140625" customWidth="1"/>
    <col min="4607" max="4607" width="11.140625" customWidth="1"/>
    <col min="4608" max="4608" width="14.140625" customWidth="1"/>
    <col min="4609" max="4609" width="14.42578125" customWidth="1"/>
    <col min="4610" max="4610" width="14.28515625" customWidth="1"/>
    <col min="4612" max="4617" width="13.28515625" customWidth="1"/>
    <col min="4618" max="4618" width="14.42578125" customWidth="1"/>
    <col min="4619" max="4619" width="7.140625" customWidth="1"/>
    <col min="4620" max="4620" width="8" customWidth="1"/>
    <col min="4857" max="4857" width="21.42578125" customWidth="1"/>
    <col min="4858" max="4858" width="57.140625" customWidth="1"/>
    <col min="4863" max="4863" width="11.140625" customWidth="1"/>
    <col min="4864" max="4864" width="14.140625" customWidth="1"/>
    <col min="4865" max="4865" width="14.42578125" customWidth="1"/>
    <col min="4866" max="4866" width="14.28515625" customWidth="1"/>
    <col min="4868" max="4873" width="13.28515625" customWidth="1"/>
    <col min="4874" max="4874" width="14.42578125" customWidth="1"/>
    <col min="4875" max="4875" width="7.140625" customWidth="1"/>
    <col min="4876" max="4876" width="8" customWidth="1"/>
    <col min="5113" max="5113" width="21.42578125" customWidth="1"/>
    <col min="5114" max="5114" width="57.140625" customWidth="1"/>
    <col min="5119" max="5119" width="11.140625" customWidth="1"/>
    <col min="5120" max="5120" width="14.140625" customWidth="1"/>
    <col min="5121" max="5121" width="14.42578125" customWidth="1"/>
    <col min="5122" max="5122" width="14.28515625" customWidth="1"/>
    <col min="5124" max="5129" width="13.28515625" customWidth="1"/>
    <col min="5130" max="5130" width="14.42578125" customWidth="1"/>
    <col min="5131" max="5131" width="7.140625" customWidth="1"/>
    <col min="5132" max="5132" width="8" customWidth="1"/>
    <col min="5369" max="5369" width="21.42578125" customWidth="1"/>
    <col min="5370" max="5370" width="57.140625" customWidth="1"/>
    <col min="5375" max="5375" width="11.140625" customWidth="1"/>
    <col min="5376" max="5376" width="14.140625" customWidth="1"/>
    <col min="5377" max="5377" width="14.42578125" customWidth="1"/>
    <col min="5378" max="5378" width="14.28515625" customWidth="1"/>
    <col min="5380" max="5385" width="13.28515625" customWidth="1"/>
    <col min="5386" max="5386" width="14.42578125" customWidth="1"/>
    <col min="5387" max="5387" width="7.140625" customWidth="1"/>
    <col min="5388" max="5388" width="8" customWidth="1"/>
    <col min="5625" max="5625" width="21.42578125" customWidth="1"/>
    <col min="5626" max="5626" width="57.140625" customWidth="1"/>
    <col min="5631" max="5631" width="11.140625" customWidth="1"/>
    <col min="5632" max="5632" width="14.140625" customWidth="1"/>
    <col min="5633" max="5633" width="14.42578125" customWidth="1"/>
    <col min="5634" max="5634" width="14.28515625" customWidth="1"/>
    <col min="5636" max="5641" width="13.28515625" customWidth="1"/>
    <col min="5642" max="5642" width="14.42578125" customWidth="1"/>
    <col min="5643" max="5643" width="7.140625" customWidth="1"/>
    <col min="5644" max="5644" width="8" customWidth="1"/>
    <col min="5881" max="5881" width="21.42578125" customWidth="1"/>
    <col min="5882" max="5882" width="57.140625" customWidth="1"/>
    <col min="5887" max="5887" width="11.140625" customWidth="1"/>
    <col min="5888" max="5888" width="14.140625" customWidth="1"/>
    <col min="5889" max="5889" width="14.42578125" customWidth="1"/>
    <col min="5890" max="5890" width="14.28515625" customWidth="1"/>
    <col min="5892" max="5897" width="13.28515625" customWidth="1"/>
    <col min="5898" max="5898" width="14.42578125" customWidth="1"/>
    <col min="5899" max="5899" width="7.140625" customWidth="1"/>
    <col min="5900" max="5900" width="8" customWidth="1"/>
    <col min="6137" max="6137" width="21.42578125" customWidth="1"/>
    <col min="6138" max="6138" width="57.140625" customWidth="1"/>
    <col min="6143" max="6143" width="11.140625" customWidth="1"/>
    <col min="6144" max="6144" width="14.140625" customWidth="1"/>
    <col min="6145" max="6145" width="14.42578125" customWidth="1"/>
    <col min="6146" max="6146" width="14.28515625" customWidth="1"/>
    <col min="6148" max="6153" width="13.28515625" customWidth="1"/>
    <col min="6154" max="6154" width="14.42578125" customWidth="1"/>
    <col min="6155" max="6155" width="7.140625" customWidth="1"/>
    <col min="6156" max="6156" width="8" customWidth="1"/>
    <col min="6393" max="6393" width="21.42578125" customWidth="1"/>
    <col min="6394" max="6394" width="57.140625" customWidth="1"/>
    <col min="6399" max="6399" width="11.140625" customWidth="1"/>
    <col min="6400" max="6400" width="14.140625" customWidth="1"/>
    <col min="6401" max="6401" width="14.42578125" customWidth="1"/>
    <col min="6402" max="6402" width="14.28515625" customWidth="1"/>
    <col min="6404" max="6409" width="13.28515625" customWidth="1"/>
    <col min="6410" max="6410" width="14.42578125" customWidth="1"/>
    <col min="6411" max="6411" width="7.140625" customWidth="1"/>
    <col min="6412" max="6412" width="8" customWidth="1"/>
    <col min="6649" max="6649" width="21.42578125" customWidth="1"/>
    <col min="6650" max="6650" width="57.140625" customWidth="1"/>
    <col min="6655" max="6655" width="11.140625" customWidth="1"/>
    <col min="6656" max="6656" width="14.140625" customWidth="1"/>
    <col min="6657" max="6657" width="14.42578125" customWidth="1"/>
    <col min="6658" max="6658" width="14.28515625" customWidth="1"/>
    <col min="6660" max="6665" width="13.28515625" customWidth="1"/>
    <col min="6666" max="6666" width="14.42578125" customWidth="1"/>
    <col min="6667" max="6667" width="7.140625" customWidth="1"/>
    <col min="6668" max="6668" width="8" customWidth="1"/>
    <col min="6905" max="6905" width="21.42578125" customWidth="1"/>
    <col min="6906" max="6906" width="57.140625" customWidth="1"/>
    <col min="6911" max="6911" width="11.140625" customWidth="1"/>
    <col min="6912" max="6912" width="14.140625" customWidth="1"/>
    <col min="6913" max="6913" width="14.42578125" customWidth="1"/>
    <col min="6914" max="6914" width="14.28515625" customWidth="1"/>
    <col min="6916" max="6921" width="13.28515625" customWidth="1"/>
    <col min="6922" max="6922" width="14.42578125" customWidth="1"/>
    <col min="6923" max="6923" width="7.140625" customWidth="1"/>
    <col min="6924" max="6924" width="8" customWidth="1"/>
    <col min="7161" max="7161" width="21.42578125" customWidth="1"/>
    <col min="7162" max="7162" width="57.140625" customWidth="1"/>
    <col min="7167" max="7167" width="11.140625" customWidth="1"/>
    <col min="7168" max="7168" width="14.140625" customWidth="1"/>
    <col min="7169" max="7169" width="14.42578125" customWidth="1"/>
    <col min="7170" max="7170" width="14.28515625" customWidth="1"/>
    <col min="7172" max="7177" width="13.28515625" customWidth="1"/>
    <col min="7178" max="7178" width="14.42578125" customWidth="1"/>
    <col min="7179" max="7179" width="7.140625" customWidth="1"/>
    <col min="7180" max="7180" width="8" customWidth="1"/>
    <col min="7417" max="7417" width="21.42578125" customWidth="1"/>
    <col min="7418" max="7418" width="57.140625" customWidth="1"/>
    <col min="7423" max="7423" width="11.140625" customWidth="1"/>
    <col min="7424" max="7424" width="14.140625" customWidth="1"/>
    <col min="7425" max="7425" width="14.42578125" customWidth="1"/>
    <col min="7426" max="7426" width="14.28515625" customWidth="1"/>
    <col min="7428" max="7433" width="13.28515625" customWidth="1"/>
    <col min="7434" max="7434" width="14.42578125" customWidth="1"/>
    <col min="7435" max="7435" width="7.140625" customWidth="1"/>
    <col min="7436" max="7436" width="8" customWidth="1"/>
    <col min="7673" max="7673" width="21.42578125" customWidth="1"/>
    <col min="7674" max="7674" width="57.140625" customWidth="1"/>
    <col min="7679" max="7679" width="11.140625" customWidth="1"/>
    <col min="7680" max="7680" width="14.140625" customWidth="1"/>
    <col min="7681" max="7681" width="14.42578125" customWidth="1"/>
    <col min="7682" max="7682" width="14.28515625" customWidth="1"/>
    <col min="7684" max="7689" width="13.28515625" customWidth="1"/>
    <col min="7690" max="7690" width="14.42578125" customWidth="1"/>
    <col min="7691" max="7691" width="7.140625" customWidth="1"/>
    <col min="7692" max="7692" width="8" customWidth="1"/>
    <col min="7929" max="7929" width="21.42578125" customWidth="1"/>
    <col min="7930" max="7930" width="57.140625" customWidth="1"/>
    <col min="7935" max="7935" width="11.140625" customWidth="1"/>
    <col min="7936" max="7936" width="14.140625" customWidth="1"/>
    <col min="7937" max="7937" width="14.42578125" customWidth="1"/>
    <col min="7938" max="7938" width="14.28515625" customWidth="1"/>
    <col min="7940" max="7945" width="13.28515625" customWidth="1"/>
    <col min="7946" max="7946" width="14.42578125" customWidth="1"/>
    <col min="7947" max="7947" width="7.140625" customWidth="1"/>
    <col min="7948" max="7948" width="8" customWidth="1"/>
    <col min="8185" max="8185" width="21.42578125" customWidth="1"/>
    <col min="8186" max="8186" width="57.140625" customWidth="1"/>
    <col min="8191" max="8191" width="11.140625" customWidth="1"/>
    <col min="8192" max="8192" width="14.140625" customWidth="1"/>
    <col min="8193" max="8193" width="14.42578125" customWidth="1"/>
    <col min="8194" max="8194" width="14.28515625" customWidth="1"/>
    <col min="8196" max="8201" width="13.28515625" customWidth="1"/>
    <col min="8202" max="8202" width="14.42578125" customWidth="1"/>
    <col min="8203" max="8203" width="7.140625" customWidth="1"/>
    <col min="8204" max="8204" width="8" customWidth="1"/>
    <col min="8441" max="8441" width="21.42578125" customWidth="1"/>
    <col min="8442" max="8442" width="57.140625" customWidth="1"/>
    <col min="8447" max="8447" width="11.140625" customWidth="1"/>
    <col min="8448" max="8448" width="14.140625" customWidth="1"/>
    <col min="8449" max="8449" width="14.42578125" customWidth="1"/>
    <col min="8450" max="8450" width="14.28515625" customWidth="1"/>
    <col min="8452" max="8457" width="13.28515625" customWidth="1"/>
    <col min="8458" max="8458" width="14.42578125" customWidth="1"/>
    <col min="8459" max="8459" width="7.140625" customWidth="1"/>
    <col min="8460" max="8460" width="8" customWidth="1"/>
    <col min="8697" max="8697" width="21.42578125" customWidth="1"/>
    <col min="8698" max="8698" width="57.140625" customWidth="1"/>
    <col min="8703" max="8703" width="11.140625" customWidth="1"/>
    <col min="8704" max="8704" width="14.140625" customWidth="1"/>
    <col min="8705" max="8705" width="14.42578125" customWidth="1"/>
    <col min="8706" max="8706" width="14.28515625" customWidth="1"/>
    <col min="8708" max="8713" width="13.28515625" customWidth="1"/>
    <col min="8714" max="8714" width="14.42578125" customWidth="1"/>
    <col min="8715" max="8715" width="7.140625" customWidth="1"/>
    <col min="8716" max="8716" width="8" customWidth="1"/>
    <col min="8953" max="8953" width="21.42578125" customWidth="1"/>
    <col min="8954" max="8954" width="57.140625" customWidth="1"/>
    <col min="8959" max="8959" width="11.140625" customWidth="1"/>
    <col min="8960" max="8960" width="14.140625" customWidth="1"/>
    <col min="8961" max="8961" width="14.42578125" customWidth="1"/>
    <col min="8962" max="8962" width="14.28515625" customWidth="1"/>
    <col min="8964" max="8969" width="13.28515625" customWidth="1"/>
    <col min="8970" max="8970" width="14.42578125" customWidth="1"/>
    <col min="8971" max="8971" width="7.140625" customWidth="1"/>
    <col min="8972" max="8972" width="8" customWidth="1"/>
    <col min="9209" max="9209" width="21.42578125" customWidth="1"/>
    <col min="9210" max="9210" width="57.140625" customWidth="1"/>
    <col min="9215" max="9215" width="11.140625" customWidth="1"/>
    <col min="9216" max="9216" width="14.140625" customWidth="1"/>
    <col min="9217" max="9217" width="14.42578125" customWidth="1"/>
    <col min="9218" max="9218" width="14.28515625" customWidth="1"/>
    <col min="9220" max="9225" width="13.28515625" customWidth="1"/>
    <col min="9226" max="9226" width="14.42578125" customWidth="1"/>
    <col min="9227" max="9227" width="7.140625" customWidth="1"/>
    <col min="9228" max="9228" width="8" customWidth="1"/>
    <col min="9465" max="9465" width="21.42578125" customWidth="1"/>
    <col min="9466" max="9466" width="57.140625" customWidth="1"/>
    <col min="9471" max="9471" width="11.140625" customWidth="1"/>
    <col min="9472" max="9472" width="14.140625" customWidth="1"/>
    <col min="9473" max="9473" width="14.42578125" customWidth="1"/>
    <col min="9474" max="9474" width="14.28515625" customWidth="1"/>
    <col min="9476" max="9481" width="13.28515625" customWidth="1"/>
    <col min="9482" max="9482" width="14.42578125" customWidth="1"/>
    <col min="9483" max="9483" width="7.140625" customWidth="1"/>
    <col min="9484" max="9484" width="8" customWidth="1"/>
    <col min="9721" max="9721" width="21.42578125" customWidth="1"/>
    <col min="9722" max="9722" width="57.140625" customWidth="1"/>
    <col min="9727" max="9727" width="11.140625" customWidth="1"/>
    <col min="9728" max="9728" width="14.140625" customWidth="1"/>
    <col min="9729" max="9729" width="14.42578125" customWidth="1"/>
    <col min="9730" max="9730" width="14.28515625" customWidth="1"/>
    <col min="9732" max="9737" width="13.28515625" customWidth="1"/>
    <col min="9738" max="9738" width="14.42578125" customWidth="1"/>
    <col min="9739" max="9739" width="7.140625" customWidth="1"/>
    <col min="9740" max="9740" width="8" customWidth="1"/>
    <col min="9977" max="9977" width="21.42578125" customWidth="1"/>
    <col min="9978" max="9978" width="57.140625" customWidth="1"/>
    <col min="9983" max="9983" width="11.140625" customWidth="1"/>
    <col min="9984" max="9984" width="14.140625" customWidth="1"/>
    <col min="9985" max="9985" width="14.42578125" customWidth="1"/>
    <col min="9986" max="9986" width="14.28515625" customWidth="1"/>
    <col min="9988" max="9993" width="13.28515625" customWidth="1"/>
    <col min="9994" max="9994" width="14.42578125" customWidth="1"/>
    <col min="9995" max="9995" width="7.140625" customWidth="1"/>
    <col min="9996" max="9996" width="8" customWidth="1"/>
    <col min="10233" max="10233" width="21.42578125" customWidth="1"/>
    <col min="10234" max="10234" width="57.140625" customWidth="1"/>
    <col min="10239" max="10239" width="11.140625" customWidth="1"/>
    <col min="10240" max="10240" width="14.140625" customWidth="1"/>
    <col min="10241" max="10241" width="14.42578125" customWidth="1"/>
    <col min="10242" max="10242" width="14.28515625" customWidth="1"/>
    <col min="10244" max="10249" width="13.28515625" customWidth="1"/>
    <col min="10250" max="10250" width="14.42578125" customWidth="1"/>
    <col min="10251" max="10251" width="7.140625" customWidth="1"/>
    <col min="10252" max="10252" width="8" customWidth="1"/>
    <col min="10489" max="10489" width="21.42578125" customWidth="1"/>
    <col min="10490" max="10490" width="57.140625" customWidth="1"/>
    <col min="10495" max="10495" width="11.140625" customWidth="1"/>
    <col min="10496" max="10496" width="14.140625" customWidth="1"/>
    <col min="10497" max="10497" width="14.42578125" customWidth="1"/>
    <col min="10498" max="10498" width="14.28515625" customWidth="1"/>
    <col min="10500" max="10505" width="13.28515625" customWidth="1"/>
    <col min="10506" max="10506" width="14.42578125" customWidth="1"/>
    <col min="10507" max="10507" width="7.140625" customWidth="1"/>
    <col min="10508" max="10508" width="8" customWidth="1"/>
    <col min="10745" max="10745" width="21.42578125" customWidth="1"/>
    <col min="10746" max="10746" width="57.140625" customWidth="1"/>
    <col min="10751" max="10751" width="11.140625" customWidth="1"/>
    <col min="10752" max="10752" width="14.140625" customWidth="1"/>
    <col min="10753" max="10753" width="14.42578125" customWidth="1"/>
    <col min="10754" max="10754" width="14.28515625" customWidth="1"/>
    <col min="10756" max="10761" width="13.28515625" customWidth="1"/>
    <col min="10762" max="10762" width="14.42578125" customWidth="1"/>
    <col min="10763" max="10763" width="7.140625" customWidth="1"/>
    <col min="10764" max="10764" width="8" customWidth="1"/>
    <col min="11001" max="11001" width="21.42578125" customWidth="1"/>
    <col min="11002" max="11002" width="57.140625" customWidth="1"/>
    <col min="11007" max="11007" width="11.140625" customWidth="1"/>
    <col min="11008" max="11008" width="14.140625" customWidth="1"/>
    <col min="11009" max="11009" width="14.42578125" customWidth="1"/>
    <col min="11010" max="11010" width="14.28515625" customWidth="1"/>
    <col min="11012" max="11017" width="13.28515625" customWidth="1"/>
    <col min="11018" max="11018" width="14.42578125" customWidth="1"/>
    <col min="11019" max="11019" width="7.140625" customWidth="1"/>
    <col min="11020" max="11020" width="8" customWidth="1"/>
    <col min="11257" max="11257" width="21.42578125" customWidth="1"/>
    <col min="11258" max="11258" width="57.140625" customWidth="1"/>
    <col min="11263" max="11263" width="11.140625" customWidth="1"/>
    <col min="11264" max="11264" width="14.140625" customWidth="1"/>
    <col min="11265" max="11265" width="14.42578125" customWidth="1"/>
    <col min="11266" max="11266" width="14.28515625" customWidth="1"/>
    <col min="11268" max="11273" width="13.28515625" customWidth="1"/>
    <col min="11274" max="11274" width="14.42578125" customWidth="1"/>
    <col min="11275" max="11275" width="7.140625" customWidth="1"/>
    <col min="11276" max="11276" width="8" customWidth="1"/>
    <col min="11513" max="11513" width="21.42578125" customWidth="1"/>
    <col min="11514" max="11514" width="57.140625" customWidth="1"/>
    <col min="11519" max="11519" width="11.140625" customWidth="1"/>
    <col min="11520" max="11520" width="14.140625" customWidth="1"/>
    <col min="11521" max="11521" width="14.42578125" customWidth="1"/>
    <col min="11522" max="11522" width="14.28515625" customWidth="1"/>
    <col min="11524" max="11529" width="13.28515625" customWidth="1"/>
    <col min="11530" max="11530" width="14.42578125" customWidth="1"/>
    <col min="11531" max="11531" width="7.140625" customWidth="1"/>
    <col min="11532" max="11532" width="8" customWidth="1"/>
    <col min="11769" max="11769" width="21.42578125" customWidth="1"/>
    <col min="11770" max="11770" width="57.140625" customWidth="1"/>
    <col min="11775" max="11775" width="11.140625" customWidth="1"/>
    <col min="11776" max="11776" width="14.140625" customWidth="1"/>
    <col min="11777" max="11777" width="14.42578125" customWidth="1"/>
    <col min="11778" max="11778" width="14.28515625" customWidth="1"/>
    <col min="11780" max="11785" width="13.28515625" customWidth="1"/>
    <col min="11786" max="11786" width="14.42578125" customWidth="1"/>
    <col min="11787" max="11787" width="7.140625" customWidth="1"/>
    <col min="11788" max="11788" width="8" customWidth="1"/>
    <col min="12025" max="12025" width="21.42578125" customWidth="1"/>
    <col min="12026" max="12026" width="57.140625" customWidth="1"/>
    <col min="12031" max="12031" width="11.140625" customWidth="1"/>
    <col min="12032" max="12032" width="14.140625" customWidth="1"/>
    <col min="12033" max="12033" width="14.42578125" customWidth="1"/>
    <col min="12034" max="12034" width="14.28515625" customWidth="1"/>
    <col min="12036" max="12041" width="13.28515625" customWidth="1"/>
    <col min="12042" max="12042" width="14.42578125" customWidth="1"/>
    <col min="12043" max="12043" width="7.140625" customWidth="1"/>
    <col min="12044" max="12044" width="8" customWidth="1"/>
    <col min="12281" max="12281" width="21.42578125" customWidth="1"/>
    <col min="12282" max="12282" width="57.140625" customWidth="1"/>
    <col min="12287" max="12287" width="11.140625" customWidth="1"/>
    <col min="12288" max="12288" width="14.140625" customWidth="1"/>
    <col min="12289" max="12289" width="14.42578125" customWidth="1"/>
    <col min="12290" max="12290" width="14.28515625" customWidth="1"/>
    <col min="12292" max="12297" width="13.28515625" customWidth="1"/>
    <col min="12298" max="12298" width="14.42578125" customWidth="1"/>
    <col min="12299" max="12299" width="7.140625" customWidth="1"/>
    <col min="12300" max="12300" width="8" customWidth="1"/>
    <col min="12537" max="12537" width="21.42578125" customWidth="1"/>
    <col min="12538" max="12538" width="57.140625" customWidth="1"/>
    <col min="12543" max="12543" width="11.140625" customWidth="1"/>
    <col min="12544" max="12544" width="14.140625" customWidth="1"/>
    <col min="12545" max="12545" width="14.42578125" customWidth="1"/>
    <col min="12546" max="12546" width="14.28515625" customWidth="1"/>
    <col min="12548" max="12553" width="13.28515625" customWidth="1"/>
    <col min="12554" max="12554" width="14.42578125" customWidth="1"/>
    <col min="12555" max="12555" width="7.140625" customWidth="1"/>
    <col min="12556" max="12556" width="8" customWidth="1"/>
    <col min="12793" max="12793" width="21.42578125" customWidth="1"/>
    <col min="12794" max="12794" width="57.140625" customWidth="1"/>
    <col min="12799" max="12799" width="11.140625" customWidth="1"/>
    <col min="12800" max="12800" width="14.140625" customWidth="1"/>
    <col min="12801" max="12801" width="14.42578125" customWidth="1"/>
    <col min="12802" max="12802" width="14.28515625" customWidth="1"/>
    <col min="12804" max="12809" width="13.28515625" customWidth="1"/>
    <col min="12810" max="12810" width="14.42578125" customWidth="1"/>
    <col min="12811" max="12811" width="7.140625" customWidth="1"/>
    <col min="12812" max="12812" width="8" customWidth="1"/>
    <col min="13049" max="13049" width="21.42578125" customWidth="1"/>
    <col min="13050" max="13050" width="57.140625" customWidth="1"/>
    <col min="13055" max="13055" width="11.140625" customWidth="1"/>
    <col min="13056" max="13056" width="14.140625" customWidth="1"/>
    <col min="13057" max="13057" width="14.42578125" customWidth="1"/>
    <col min="13058" max="13058" width="14.28515625" customWidth="1"/>
    <col min="13060" max="13065" width="13.28515625" customWidth="1"/>
    <col min="13066" max="13066" width="14.42578125" customWidth="1"/>
    <col min="13067" max="13067" width="7.140625" customWidth="1"/>
    <col min="13068" max="13068" width="8" customWidth="1"/>
    <col min="13305" max="13305" width="21.42578125" customWidth="1"/>
    <col min="13306" max="13306" width="57.140625" customWidth="1"/>
    <col min="13311" max="13311" width="11.140625" customWidth="1"/>
    <col min="13312" max="13312" width="14.140625" customWidth="1"/>
    <col min="13313" max="13313" width="14.42578125" customWidth="1"/>
    <col min="13314" max="13314" width="14.28515625" customWidth="1"/>
    <col min="13316" max="13321" width="13.28515625" customWidth="1"/>
    <col min="13322" max="13322" width="14.42578125" customWidth="1"/>
    <col min="13323" max="13323" width="7.140625" customWidth="1"/>
    <col min="13324" max="13324" width="8" customWidth="1"/>
    <col min="13561" max="13561" width="21.42578125" customWidth="1"/>
    <col min="13562" max="13562" width="57.140625" customWidth="1"/>
    <col min="13567" max="13567" width="11.140625" customWidth="1"/>
    <col min="13568" max="13568" width="14.140625" customWidth="1"/>
    <col min="13569" max="13569" width="14.42578125" customWidth="1"/>
    <col min="13570" max="13570" width="14.28515625" customWidth="1"/>
    <col min="13572" max="13577" width="13.28515625" customWidth="1"/>
    <col min="13578" max="13578" width="14.42578125" customWidth="1"/>
    <col min="13579" max="13579" width="7.140625" customWidth="1"/>
    <col min="13580" max="13580" width="8" customWidth="1"/>
    <col min="13817" max="13817" width="21.42578125" customWidth="1"/>
    <col min="13818" max="13818" width="57.140625" customWidth="1"/>
    <col min="13823" max="13823" width="11.140625" customWidth="1"/>
    <col min="13824" max="13824" width="14.140625" customWidth="1"/>
    <col min="13825" max="13825" width="14.42578125" customWidth="1"/>
    <col min="13826" max="13826" width="14.28515625" customWidth="1"/>
    <col min="13828" max="13833" width="13.28515625" customWidth="1"/>
    <col min="13834" max="13834" width="14.42578125" customWidth="1"/>
    <col min="13835" max="13835" width="7.140625" customWidth="1"/>
    <col min="13836" max="13836" width="8" customWidth="1"/>
    <col min="14073" max="14073" width="21.42578125" customWidth="1"/>
    <col min="14074" max="14074" width="57.140625" customWidth="1"/>
    <col min="14079" max="14079" width="11.140625" customWidth="1"/>
    <col min="14080" max="14080" width="14.140625" customWidth="1"/>
    <col min="14081" max="14081" width="14.42578125" customWidth="1"/>
    <col min="14082" max="14082" width="14.28515625" customWidth="1"/>
    <col min="14084" max="14089" width="13.28515625" customWidth="1"/>
    <col min="14090" max="14090" width="14.42578125" customWidth="1"/>
    <col min="14091" max="14091" width="7.140625" customWidth="1"/>
    <col min="14092" max="14092" width="8" customWidth="1"/>
    <col min="14329" max="14329" width="21.42578125" customWidth="1"/>
    <col min="14330" max="14330" width="57.140625" customWidth="1"/>
    <col min="14335" max="14335" width="11.140625" customWidth="1"/>
    <col min="14336" max="14336" width="14.140625" customWidth="1"/>
    <col min="14337" max="14337" width="14.42578125" customWidth="1"/>
    <col min="14338" max="14338" width="14.28515625" customWidth="1"/>
    <col min="14340" max="14345" width="13.28515625" customWidth="1"/>
    <col min="14346" max="14346" width="14.42578125" customWidth="1"/>
    <col min="14347" max="14347" width="7.140625" customWidth="1"/>
    <col min="14348" max="14348" width="8" customWidth="1"/>
    <col min="14585" max="14585" width="21.42578125" customWidth="1"/>
    <col min="14586" max="14586" width="57.140625" customWidth="1"/>
    <col min="14591" max="14591" width="11.140625" customWidth="1"/>
    <col min="14592" max="14592" width="14.140625" customWidth="1"/>
    <col min="14593" max="14593" width="14.42578125" customWidth="1"/>
    <col min="14594" max="14594" width="14.28515625" customWidth="1"/>
    <col min="14596" max="14601" width="13.28515625" customWidth="1"/>
    <col min="14602" max="14602" width="14.42578125" customWidth="1"/>
    <col min="14603" max="14603" width="7.140625" customWidth="1"/>
    <col min="14604" max="14604" width="8" customWidth="1"/>
    <col min="14841" max="14841" width="21.42578125" customWidth="1"/>
    <col min="14842" max="14842" width="57.140625" customWidth="1"/>
    <col min="14847" max="14847" width="11.140625" customWidth="1"/>
    <col min="14848" max="14848" width="14.140625" customWidth="1"/>
    <col min="14849" max="14849" width="14.42578125" customWidth="1"/>
    <col min="14850" max="14850" width="14.28515625" customWidth="1"/>
    <col min="14852" max="14857" width="13.28515625" customWidth="1"/>
    <col min="14858" max="14858" width="14.42578125" customWidth="1"/>
    <col min="14859" max="14859" width="7.140625" customWidth="1"/>
    <col min="14860" max="14860" width="8" customWidth="1"/>
    <col min="15097" max="15097" width="21.42578125" customWidth="1"/>
    <col min="15098" max="15098" width="57.140625" customWidth="1"/>
    <col min="15103" max="15103" width="11.140625" customWidth="1"/>
    <col min="15104" max="15104" width="14.140625" customWidth="1"/>
    <col min="15105" max="15105" width="14.42578125" customWidth="1"/>
    <col min="15106" max="15106" width="14.28515625" customWidth="1"/>
    <col min="15108" max="15113" width="13.28515625" customWidth="1"/>
    <col min="15114" max="15114" width="14.42578125" customWidth="1"/>
    <col min="15115" max="15115" width="7.140625" customWidth="1"/>
    <col min="15116" max="15116" width="8" customWidth="1"/>
    <col min="15353" max="15353" width="21.42578125" customWidth="1"/>
    <col min="15354" max="15354" width="57.140625" customWidth="1"/>
    <col min="15359" max="15359" width="11.140625" customWidth="1"/>
    <col min="15360" max="15360" width="14.140625" customWidth="1"/>
    <col min="15361" max="15361" width="14.42578125" customWidth="1"/>
    <col min="15362" max="15362" width="14.28515625" customWidth="1"/>
    <col min="15364" max="15369" width="13.28515625" customWidth="1"/>
    <col min="15370" max="15370" width="14.42578125" customWidth="1"/>
    <col min="15371" max="15371" width="7.140625" customWidth="1"/>
    <col min="15372" max="15372" width="8" customWidth="1"/>
    <col min="15609" max="15609" width="21.42578125" customWidth="1"/>
    <col min="15610" max="15610" width="57.140625" customWidth="1"/>
    <col min="15615" max="15615" width="11.140625" customWidth="1"/>
    <col min="15616" max="15616" width="14.140625" customWidth="1"/>
    <col min="15617" max="15617" width="14.42578125" customWidth="1"/>
    <col min="15618" max="15618" width="14.28515625" customWidth="1"/>
    <col min="15620" max="15625" width="13.28515625" customWidth="1"/>
    <col min="15626" max="15626" width="14.42578125" customWidth="1"/>
    <col min="15627" max="15627" width="7.140625" customWidth="1"/>
    <col min="15628" max="15628" width="8" customWidth="1"/>
    <col min="15865" max="15865" width="21.42578125" customWidth="1"/>
    <col min="15866" max="15866" width="57.140625" customWidth="1"/>
    <col min="15871" max="15871" width="11.140625" customWidth="1"/>
    <col min="15872" max="15872" width="14.140625" customWidth="1"/>
    <col min="15873" max="15873" width="14.42578125" customWidth="1"/>
    <col min="15874" max="15874" width="14.28515625" customWidth="1"/>
    <col min="15876" max="15881" width="13.28515625" customWidth="1"/>
    <col min="15882" max="15882" width="14.42578125" customWidth="1"/>
    <col min="15883" max="15883" width="7.140625" customWidth="1"/>
    <col min="15884" max="15884" width="8" customWidth="1"/>
    <col min="16121" max="16121" width="21.42578125" customWidth="1"/>
    <col min="16122" max="16122" width="57.140625" customWidth="1"/>
    <col min="16127" max="16127" width="11.140625" customWidth="1"/>
    <col min="16128" max="16128" width="14.140625" customWidth="1"/>
    <col min="16129" max="16129" width="14.42578125" customWidth="1"/>
    <col min="16130" max="16130" width="14.28515625" customWidth="1"/>
    <col min="16132" max="16137" width="13.28515625" customWidth="1"/>
    <col min="16138" max="16138" width="14.42578125" customWidth="1"/>
    <col min="16139" max="16139" width="7.140625" customWidth="1"/>
    <col min="16140" max="16140" width="8" customWidth="1"/>
  </cols>
  <sheetData>
    <row r="1" spans="1:18" ht="52.5" customHeight="1" thickBot="1" x14ac:dyDescent="0.3">
      <c r="A1" s="131" t="s">
        <v>40</v>
      </c>
      <c r="B1" s="131" t="s">
        <v>41</v>
      </c>
      <c r="C1" s="131" t="s">
        <v>42</v>
      </c>
      <c r="D1" s="132" t="s">
        <v>43</v>
      </c>
      <c r="E1" s="132" t="s">
        <v>476</v>
      </c>
      <c r="F1" s="131" t="s">
        <v>477</v>
      </c>
      <c r="G1" s="131" t="s">
        <v>29</v>
      </c>
      <c r="H1" s="131" t="s">
        <v>478</v>
      </c>
      <c r="I1" s="64" t="s">
        <v>388</v>
      </c>
      <c r="J1" s="131" t="s">
        <v>44</v>
      </c>
      <c r="K1" s="131" t="s">
        <v>45</v>
      </c>
      <c r="L1" s="131" t="s">
        <v>46</v>
      </c>
      <c r="M1" s="131" t="s">
        <v>386</v>
      </c>
      <c r="N1" s="131" t="s">
        <v>47</v>
      </c>
      <c r="O1" s="131" t="s">
        <v>48</v>
      </c>
      <c r="P1" s="131" t="s">
        <v>49</v>
      </c>
      <c r="Q1" s="131" t="s">
        <v>479</v>
      </c>
      <c r="R1" s="131" t="s">
        <v>50</v>
      </c>
    </row>
    <row r="2" spans="1:18" ht="18" customHeight="1" x14ac:dyDescent="0.25">
      <c r="A2" s="167" t="str">
        <f ca="1">"SPDO-"&amp;D2&amp;"/"&amp;E2</f>
        <v>SPDO-016/1</v>
      </c>
      <c r="B2" s="86" t="s">
        <v>379</v>
      </c>
      <c r="C2" s="87" t="s">
        <v>83</v>
      </c>
      <c r="D2" s="134" t="str" cm="1">
        <f t="array" aca="1" ref="D2" ca="1">_xlfn.LET(_xlpm.filepath,CELL("filename",D2),MID(_xlpm.filepath,FIND("]",_xlpm.filepath)+1,3))</f>
        <v>016</v>
      </c>
      <c r="E2" s="135" t="s">
        <v>84</v>
      </c>
      <c r="F2" s="89" t="str">
        <f>"DO"&amp;E2&amp;"+"</f>
        <v>DO1+</v>
      </c>
      <c r="G2" s="87" t="s">
        <v>232</v>
      </c>
      <c r="H2" s="87" t="s">
        <v>233</v>
      </c>
      <c r="I2" s="65" t="s">
        <v>391</v>
      </c>
      <c r="J2" s="136"/>
      <c r="K2" s="136"/>
      <c r="L2" s="89" t="s">
        <v>378</v>
      </c>
      <c r="M2" s="89" t="s">
        <v>439</v>
      </c>
      <c r="N2" s="89" t="str">
        <f ca="1">D2&amp;"/"&amp;F2</f>
        <v>016/DO1+</v>
      </c>
      <c r="O2" s="89" t="s">
        <v>527</v>
      </c>
      <c r="P2" s="89">
        <v>33</v>
      </c>
      <c r="Q2" s="90" t="s">
        <v>475</v>
      </c>
      <c r="R2" s="69">
        <v>0</v>
      </c>
    </row>
    <row r="3" spans="1:18" ht="18" customHeight="1" x14ac:dyDescent="0.25">
      <c r="A3" s="168"/>
      <c r="B3" s="138"/>
      <c r="C3" s="139"/>
      <c r="D3" s="140"/>
      <c r="E3" s="141"/>
      <c r="F3" s="117" t="str">
        <f>"DO"&amp;E2&amp;"-"</f>
        <v>DO1-</v>
      </c>
      <c r="G3" s="139"/>
      <c r="H3" s="139"/>
      <c r="I3" s="55" t="s">
        <v>392</v>
      </c>
      <c r="J3" s="139"/>
      <c r="K3" s="139"/>
      <c r="L3" s="117" t="s">
        <v>376</v>
      </c>
      <c r="M3" s="117" t="s">
        <v>439</v>
      </c>
      <c r="N3" s="117" t="str">
        <f ca="1">D2&amp;"/"&amp;F3</f>
        <v>016/DO1-</v>
      </c>
      <c r="O3" s="117" t="s">
        <v>527</v>
      </c>
      <c r="P3" s="117">
        <v>34</v>
      </c>
      <c r="Q3" s="142"/>
      <c r="R3" s="57"/>
    </row>
    <row r="4" spans="1:18" ht="18" customHeight="1" x14ac:dyDescent="0.25">
      <c r="A4" s="169" t="str">
        <f ca="1">"SPDO-"&amp;D4&amp;"/"&amp;E4</f>
        <v>SPDO-016/2</v>
      </c>
      <c r="B4" s="101" t="s">
        <v>379</v>
      </c>
      <c r="C4" s="102" t="s">
        <v>83</v>
      </c>
      <c r="D4" s="143" t="str" cm="1">
        <f t="array" aca="1" ref="D4" ca="1">_xlfn.LET(_xlpm.filepath,CELL("filename",D4),MID(_xlpm.filepath,FIND("]",_xlpm.filepath)+1,3))</f>
        <v>016</v>
      </c>
      <c r="E4" s="144" t="s">
        <v>90</v>
      </c>
      <c r="F4" s="104" t="str">
        <f>"DO"&amp;E4&amp;"+"</f>
        <v>DO2+</v>
      </c>
      <c r="G4" s="102" t="s">
        <v>232</v>
      </c>
      <c r="H4" s="102" t="s">
        <v>233</v>
      </c>
      <c r="I4" s="58" t="s">
        <v>393</v>
      </c>
      <c r="J4" s="102"/>
      <c r="K4" s="102"/>
      <c r="L4" s="104" t="s">
        <v>378</v>
      </c>
      <c r="M4" s="104" t="s">
        <v>439</v>
      </c>
      <c r="N4" s="104" t="str">
        <f ca="1">D4&amp;"/"&amp;F4</f>
        <v>016/DO2+</v>
      </c>
      <c r="O4" s="104" t="s">
        <v>527</v>
      </c>
      <c r="P4" s="104">
        <v>35</v>
      </c>
      <c r="Q4" s="103" t="s">
        <v>475</v>
      </c>
      <c r="R4" s="105" t="s">
        <v>91</v>
      </c>
    </row>
    <row r="5" spans="1:18" ht="18" customHeight="1" x14ac:dyDescent="0.25">
      <c r="A5" s="170"/>
      <c r="B5" s="126"/>
      <c r="C5" s="127"/>
      <c r="D5" s="145"/>
      <c r="E5" s="146"/>
      <c r="F5" s="147" t="str">
        <f>"DO"&amp;E4&amp;"-"</f>
        <v>DO2-</v>
      </c>
      <c r="G5" s="127"/>
      <c r="H5" s="127"/>
      <c r="I5" s="59" t="s">
        <v>394</v>
      </c>
      <c r="J5" s="129"/>
      <c r="K5" s="127"/>
      <c r="L5" s="147" t="s">
        <v>376</v>
      </c>
      <c r="M5" s="147" t="s">
        <v>439</v>
      </c>
      <c r="N5" s="147" t="str">
        <f ca="1">D4&amp;"/"&amp;F5</f>
        <v>016/DO2-</v>
      </c>
      <c r="O5" s="147" t="s">
        <v>527</v>
      </c>
      <c r="P5" s="147">
        <v>36</v>
      </c>
      <c r="Q5" s="128"/>
      <c r="R5" s="130"/>
    </row>
    <row r="6" spans="1:18" ht="18" customHeight="1" x14ac:dyDescent="0.25">
      <c r="A6" s="171" t="str">
        <f ca="1">"SPDO-"&amp;D6&amp;"/"&amp;E6</f>
        <v>SPDO-016/3</v>
      </c>
      <c r="B6" s="120" t="s">
        <v>379</v>
      </c>
      <c r="C6" s="121" t="s">
        <v>83</v>
      </c>
      <c r="D6" s="148" t="str" cm="1">
        <f t="array" aca="1" ref="D6" ca="1">_xlfn.LET(_xlpm.filepath,CELL("filename",D6),MID(_xlpm.filepath,FIND("]",_xlpm.filepath)+1,3))</f>
        <v>016</v>
      </c>
      <c r="E6" s="149" t="s">
        <v>237</v>
      </c>
      <c r="F6" s="123" t="str">
        <f>"DO"&amp;E6&amp;"+"</f>
        <v>DO3+</v>
      </c>
      <c r="G6" s="121" t="s">
        <v>232</v>
      </c>
      <c r="H6" s="121" t="s">
        <v>233</v>
      </c>
      <c r="I6" s="53" t="s">
        <v>395</v>
      </c>
      <c r="J6" s="121"/>
      <c r="K6" s="121"/>
      <c r="L6" s="123" t="s">
        <v>378</v>
      </c>
      <c r="M6" s="123" t="s">
        <v>439</v>
      </c>
      <c r="N6" s="123" t="str">
        <f ca="1">D6&amp;"/"&amp;F6</f>
        <v>016/DO3+</v>
      </c>
      <c r="O6" s="123" t="s">
        <v>527</v>
      </c>
      <c r="P6" s="123">
        <v>37</v>
      </c>
      <c r="Q6" s="124" t="s">
        <v>475</v>
      </c>
      <c r="R6" s="150">
        <v>0</v>
      </c>
    </row>
    <row r="7" spans="1:18" ht="18" customHeight="1" x14ac:dyDescent="0.25">
      <c r="A7" s="168"/>
      <c r="B7" s="138"/>
      <c r="C7" s="139"/>
      <c r="D7" s="140"/>
      <c r="E7" s="141"/>
      <c r="F7" s="117" t="str">
        <f>"DO"&amp;E6&amp;"-"</f>
        <v>DO3-</v>
      </c>
      <c r="G7" s="139"/>
      <c r="H7" s="139"/>
      <c r="I7" s="55" t="s">
        <v>396</v>
      </c>
      <c r="J7" s="139"/>
      <c r="K7" s="139"/>
      <c r="L7" s="117" t="s">
        <v>376</v>
      </c>
      <c r="M7" s="117" t="s">
        <v>439</v>
      </c>
      <c r="N7" s="117" t="str">
        <f ca="1">D6&amp;"/"&amp;F7</f>
        <v>016/DO3-</v>
      </c>
      <c r="O7" s="117" t="s">
        <v>527</v>
      </c>
      <c r="P7" s="117">
        <v>38</v>
      </c>
      <c r="Q7" s="142"/>
      <c r="R7" s="151"/>
    </row>
    <row r="8" spans="1:18" ht="18" customHeight="1" x14ac:dyDescent="0.25">
      <c r="A8" s="169" t="s">
        <v>319</v>
      </c>
      <c r="B8" s="101" t="s">
        <v>583</v>
      </c>
      <c r="C8" s="102" t="s">
        <v>83</v>
      </c>
      <c r="D8" s="143" t="str" cm="1">
        <f t="array" aca="1" ref="D8" ca="1">_xlfn.LET(_xlpm.filepath,CELL("filename",D8),MID(_xlpm.filepath,FIND("]",_xlpm.filepath)+1,3))</f>
        <v>016</v>
      </c>
      <c r="E8" s="144" t="s">
        <v>96</v>
      </c>
      <c r="F8" s="104" t="str">
        <f>"DO"&amp;E8&amp;"+"</f>
        <v>DO4+</v>
      </c>
      <c r="G8" s="102" t="s">
        <v>232</v>
      </c>
      <c r="H8" s="102" t="s">
        <v>233</v>
      </c>
      <c r="I8" s="58" t="s">
        <v>397</v>
      </c>
      <c r="J8" s="102" t="s">
        <v>56</v>
      </c>
      <c r="K8" s="102" t="s">
        <v>318</v>
      </c>
      <c r="L8" s="104" t="s">
        <v>378</v>
      </c>
      <c r="M8" s="104" t="s">
        <v>439</v>
      </c>
      <c r="N8" s="104" t="str">
        <f ca="1">D8&amp;"/"&amp;F8</f>
        <v>016/DO4+</v>
      </c>
      <c r="O8" s="104" t="s">
        <v>564</v>
      </c>
      <c r="P8" s="104">
        <v>3</v>
      </c>
      <c r="Q8" s="103" t="s">
        <v>475</v>
      </c>
      <c r="R8" s="105" t="s">
        <v>91</v>
      </c>
    </row>
    <row r="9" spans="1:18" ht="18" customHeight="1" thickBot="1" x14ac:dyDescent="0.3">
      <c r="A9" s="170"/>
      <c r="B9" s="126"/>
      <c r="C9" s="127"/>
      <c r="D9" s="145"/>
      <c r="E9" s="146"/>
      <c r="F9" s="147" t="str">
        <f>"DO"&amp;E8&amp;"-"</f>
        <v>DO4-</v>
      </c>
      <c r="G9" s="127"/>
      <c r="H9" s="127"/>
      <c r="I9" s="59" t="s">
        <v>398</v>
      </c>
      <c r="J9" s="129"/>
      <c r="K9" s="127"/>
      <c r="L9" s="147" t="s">
        <v>376</v>
      </c>
      <c r="M9" s="147" t="s">
        <v>439</v>
      </c>
      <c r="N9" s="147" t="str">
        <f ca="1">D8&amp;"/"&amp;F9</f>
        <v>016/DO4-</v>
      </c>
      <c r="O9" s="241" t="s">
        <v>564</v>
      </c>
      <c r="P9" s="241">
        <v>4</v>
      </c>
      <c r="Q9" s="128"/>
      <c r="R9" s="130"/>
    </row>
    <row r="10" spans="1:18" ht="18" customHeight="1" thickTop="1" x14ac:dyDescent="0.25">
      <c r="A10" s="171" t="s">
        <v>322</v>
      </c>
      <c r="B10" s="120" t="s">
        <v>582</v>
      </c>
      <c r="C10" s="121" t="s">
        <v>83</v>
      </c>
      <c r="D10" s="148" t="str" cm="1">
        <f t="array" aca="1" ref="D10" ca="1">_xlfn.LET(_xlpm.filepath,CELL("filename",D10),MID(_xlpm.filepath,FIND("]",_xlpm.filepath)+1,3))</f>
        <v>016</v>
      </c>
      <c r="E10" s="149" t="s">
        <v>242</v>
      </c>
      <c r="F10" s="123" t="str">
        <f>"DO"&amp;E10&amp;"+"</f>
        <v>DO5+</v>
      </c>
      <c r="G10" s="121" t="s">
        <v>232</v>
      </c>
      <c r="H10" s="121" t="s">
        <v>233</v>
      </c>
      <c r="I10" s="53" t="s">
        <v>399</v>
      </c>
      <c r="J10" s="121" t="s">
        <v>56</v>
      </c>
      <c r="K10" s="121" t="s">
        <v>321</v>
      </c>
      <c r="L10" s="123" t="s">
        <v>378</v>
      </c>
      <c r="M10" s="123" t="s">
        <v>439</v>
      </c>
      <c r="N10" s="123" t="str">
        <f ca="1">D10&amp;"/"&amp;F10</f>
        <v>016/DO5+</v>
      </c>
      <c r="O10" s="217" t="s">
        <v>564</v>
      </c>
      <c r="P10" s="217">
        <v>7</v>
      </c>
      <c r="Q10" s="124" t="s">
        <v>475</v>
      </c>
      <c r="R10" s="150">
        <v>0</v>
      </c>
    </row>
    <row r="11" spans="1:18" ht="18" customHeight="1" thickBot="1" x14ac:dyDescent="0.3">
      <c r="A11" s="168"/>
      <c r="B11" s="138"/>
      <c r="C11" s="139"/>
      <c r="D11" s="140"/>
      <c r="E11" s="141"/>
      <c r="F11" s="117" t="str">
        <f>"DO"&amp;E10&amp;"-"</f>
        <v>DO5-</v>
      </c>
      <c r="G11" s="139"/>
      <c r="H11" s="139"/>
      <c r="I11" s="55" t="s">
        <v>400</v>
      </c>
      <c r="J11" s="139"/>
      <c r="K11" s="139"/>
      <c r="L11" s="117" t="s">
        <v>376</v>
      </c>
      <c r="M11" s="117" t="s">
        <v>439</v>
      </c>
      <c r="N11" s="117" t="str">
        <f ca="1">D10&amp;"/"&amp;F11</f>
        <v>016/DO5-</v>
      </c>
      <c r="O11" s="243" t="s">
        <v>564</v>
      </c>
      <c r="P11" s="243">
        <v>8</v>
      </c>
      <c r="Q11" s="142"/>
      <c r="R11" s="151"/>
    </row>
    <row r="12" spans="1:18" ht="18" customHeight="1" thickTop="1" x14ac:dyDescent="0.25">
      <c r="A12" s="169" t="s">
        <v>334</v>
      </c>
      <c r="B12" s="101" t="s">
        <v>581</v>
      </c>
      <c r="C12" s="102" t="s">
        <v>83</v>
      </c>
      <c r="D12" s="143" t="str" cm="1">
        <f t="array" aca="1" ref="D12" ca="1">_xlfn.LET(_xlpm.filepath,CELL("filename",D12),MID(_xlpm.filepath,FIND("]",_xlpm.filepath)+1,3))</f>
        <v>016</v>
      </c>
      <c r="E12" s="144" t="s">
        <v>101</v>
      </c>
      <c r="F12" s="104" t="str">
        <f>"DO"&amp;E12&amp;"+"</f>
        <v>DO6+</v>
      </c>
      <c r="G12" s="102" t="s">
        <v>232</v>
      </c>
      <c r="H12" s="102" t="s">
        <v>233</v>
      </c>
      <c r="I12" s="58" t="s">
        <v>401</v>
      </c>
      <c r="J12" s="102" t="s">
        <v>56</v>
      </c>
      <c r="K12" s="102" t="s">
        <v>333</v>
      </c>
      <c r="L12" s="104" t="s">
        <v>378</v>
      </c>
      <c r="M12" s="104" t="s">
        <v>439</v>
      </c>
      <c r="N12" s="104" t="str">
        <f ca="1">D12&amp;"/"&amp;F12</f>
        <v>016/DO6+</v>
      </c>
      <c r="O12" s="242" t="s">
        <v>564</v>
      </c>
      <c r="P12" s="242">
        <v>11</v>
      </c>
      <c r="Q12" s="103" t="s">
        <v>475</v>
      </c>
      <c r="R12" s="105" t="s">
        <v>91</v>
      </c>
    </row>
    <row r="13" spans="1:18" ht="18" customHeight="1" thickBot="1" x14ac:dyDescent="0.3">
      <c r="A13" s="170"/>
      <c r="B13" s="126"/>
      <c r="C13" s="127"/>
      <c r="D13" s="145"/>
      <c r="E13" s="146"/>
      <c r="F13" s="147" t="str">
        <f>"DO"&amp;E12&amp;"-"</f>
        <v>DO6-</v>
      </c>
      <c r="G13" s="127"/>
      <c r="H13" s="127"/>
      <c r="I13" s="59" t="s">
        <v>402</v>
      </c>
      <c r="J13" s="129"/>
      <c r="K13" s="127"/>
      <c r="L13" s="147" t="s">
        <v>376</v>
      </c>
      <c r="M13" s="147" t="s">
        <v>439</v>
      </c>
      <c r="N13" s="147" t="str">
        <f ca="1">D12&amp;"/"&amp;F13</f>
        <v>016/DO6-</v>
      </c>
      <c r="O13" s="241" t="s">
        <v>564</v>
      </c>
      <c r="P13" s="241">
        <v>12</v>
      </c>
      <c r="Q13" s="128"/>
      <c r="R13" s="130"/>
    </row>
    <row r="14" spans="1:18" ht="18" customHeight="1" thickTop="1" x14ac:dyDescent="0.25">
      <c r="A14" s="171" t="s">
        <v>337</v>
      </c>
      <c r="B14" s="120" t="s">
        <v>580</v>
      </c>
      <c r="C14" s="121" t="s">
        <v>83</v>
      </c>
      <c r="D14" s="148" t="str" cm="1">
        <f t="array" aca="1" ref="D14" ca="1">_xlfn.LET(_xlpm.filepath,CELL("filename",D14),MID(_xlpm.filepath,FIND("]",_xlpm.filepath)+1,3))</f>
        <v>016</v>
      </c>
      <c r="E14" s="149" t="s">
        <v>246</v>
      </c>
      <c r="F14" s="123" t="str">
        <f>"DO"&amp;E14&amp;"+"</f>
        <v>DO7+</v>
      </c>
      <c r="G14" s="121" t="s">
        <v>232</v>
      </c>
      <c r="H14" s="121" t="s">
        <v>233</v>
      </c>
      <c r="I14" s="53" t="s">
        <v>403</v>
      </c>
      <c r="J14" s="121" t="s">
        <v>56</v>
      </c>
      <c r="K14" s="121" t="s">
        <v>336</v>
      </c>
      <c r="L14" s="123" t="s">
        <v>378</v>
      </c>
      <c r="M14" s="123" t="s">
        <v>439</v>
      </c>
      <c r="N14" s="123" t="str">
        <f ca="1">D14&amp;"/"&amp;F14</f>
        <v>016/DO7+</v>
      </c>
      <c r="O14" s="217" t="s">
        <v>564</v>
      </c>
      <c r="P14" s="217">
        <v>15</v>
      </c>
      <c r="Q14" s="124" t="s">
        <v>475</v>
      </c>
      <c r="R14" s="150">
        <v>0</v>
      </c>
    </row>
    <row r="15" spans="1:18" ht="18" customHeight="1" thickBot="1" x14ac:dyDescent="0.3">
      <c r="A15" s="168"/>
      <c r="B15" s="138"/>
      <c r="C15" s="139"/>
      <c r="D15" s="140"/>
      <c r="E15" s="141"/>
      <c r="F15" s="117" t="str">
        <f>"DO"&amp;E14&amp;"-"</f>
        <v>DO7-</v>
      </c>
      <c r="G15" s="139"/>
      <c r="H15" s="139"/>
      <c r="I15" s="55" t="s">
        <v>404</v>
      </c>
      <c r="J15" s="139"/>
      <c r="K15" s="139"/>
      <c r="L15" s="117" t="s">
        <v>376</v>
      </c>
      <c r="M15" s="117" t="s">
        <v>439</v>
      </c>
      <c r="N15" s="117" t="str">
        <f ca="1">D14&amp;"/"&amp;F15</f>
        <v>016/DO7-</v>
      </c>
      <c r="O15" s="243" t="s">
        <v>564</v>
      </c>
      <c r="P15" s="243">
        <v>16</v>
      </c>
      <c r="Q15" s="142"/>
      <c r="R15" s="151"/>
    </row>
    <row r="16" spans="1:18" ht="18" customHeight="1" thickTop="1" x14ac:dyDescent="0.25">
      <c r="A16" s="169" t="s">
        <v>340</v>
      </c>
      <c r="B16" s="101" t="s">
        <v>579</v>
      </c>
      <c r="C16" s="102" t="s">
        <v>83</v>
      </c>
      <c r="D16" s="143" t="str" cm="1">
        <f t="array" aca="1" ref="D16" ca="1">_xlfn.LET(_xlpm.filepath,CELL("filename",D16),MID(_xlpm.filepath,FIND("]",_xlpm.filepath)+1,3))</f>
        <v>016</v>
      </c>
      <c r="E16" s="144" t="s">
        <v>102</v>
      </c>
      <c r="F16" s="104" t="str">
        <f>"DO"&amp;E16&amp;"+"</f>
        <v>DO8+</v>
      </c>
      <c r="G16" s="102" t="s">
        <v>232</v>
      </c>
      <c r="H16" s="102" t="s">
        <v>233</v>
      </c>
      <c r="I16" s="58" t="s">
        <v>405</v>
      </c>
      <c r="J16" s="102" t="s">
        <v>56</v>
      </c>
      <c r="K16" s="102" t="s">
        <v>339</v>
      </c>
      <c r="L16" s="104" t="s">
        <v>378</v>
      </c>
      <c r="M16" s="104" t="s">
        <v>439</v>
      </c>
      <c r="N16" s="104" t="str">
        <f ca="1">D16&amp;"/"&amp;F16</f>
        <v>016/DO8+</v>
      </c>
      <c r="O16" s="242" t="s">
        <v>564</v>
      </c>
      <c r="P16" s="242">
        <v>19</v>
      </c>
      <c r="Q16" s="103" t="s">
        <v>475</v>
      </c>
      <c r="R16" s="105" t="s">
        <v>91</v>
      </c>
    </row>
    <row r="17" spans="1:18" ht="18" customHeight="1" thickBot="1" x14ac:dyDescent="0.3">
      <c r="A17" s="170"/>
      <c r="B17" s="126"/>
      <c r="C17" s="127"/>
      <c r="D17" s="145"/>
      <c r="E17" s="146"/>
      <c r="F17" s="147" t="str">
        <f>"DO"&amp;E16&amp;"-"</f>
        <v>DO8-</v>
      </c>
      <c r="G17" s="127"/>
      <c r="H17" s="127"/>
      <c r="I17" s="59" t="s">
        <v>406</v>
      </c>
      <c r="J17" s="129"/>
      <c r="K17" s="127"/>
      <c r="L17" s="147" t="s">
        <v>376</v>
      </c>
      <c r="M17" s="147" t="s">
        <v>439</v>
      </c>
      <c r="N17" s="147" t="str">
        <f ca="1">D16&amp;"/"&amp;F17</f>
        <v>016/DO8-</v>
      </c>
      <c r="O17" s="241" t="s">
        <v>564</v>
      </c>
      <c r="P17" s="241">
        <v>20</v>
      </c>
      <c r="Q17" s="128"/>
      <c r="R17" s="130"/>
    </row>
    <row r="18" spans="1:18" ht="18" customHeight="1" thickTop="1" x14ac:dyDescent="0.25">
      <c r="A18" s="171" t="s">
        <v>325</v>
      </c>
      <c r="B18" s="120" t="s">
        <v>578</v>
      </c>
      <c r="C18" s="121" t="s">
        <v>83</v>
      </c>
      <c r="D18" s="148" t="str" cm="1">
        <f t="array" aca="1" ref="D18" ca="1">_xlfn.LET(_xlpm.filepath,CELL("filename",D18),MID(_xlpm.filepath,FIND("]",_xlpm.filepath)+1,3))</f>
        <v>016</v>
      </c>
      <c r="E18" s="149" t="s">
        <v>252</v>
      </c>
      <c r="F18" s="123" t="str">
        <f>"DO"&amp;E18&amp;"+"</f>
        <v>DO9+</v>
      </c>
      <c r="G18" s="121" t="s">
        <v>232</v>
      </c>
      <c r="H18" s="121" t="s">
        <v>233</v>
      </c>
      <c r="I18" s="53" t="s">
        <v>407</v>
      </c>
      <c r="J18" s="121" t="s">
        <v>56</v>
      </c>
      <c r="K18" s="121" t="s">
        <v>324</v>
      </c>
      <c r="L18" s="123" t="s">
        <v>378</v>
      </c>
      <c r="M18" s="123" t="s">
        <v>439</v>
      </c>
      <c r="N18" s="123" t="str">
        <f ca="1">D18&amp;"/"&amp;F18</f>
        <v>016/DO9+</v>
      </c>
      <c r="O18" s="217" t="s">
        <v>564</v>
      </c>
      <c r="P18" s="217">
        <v>23</v>
      </c>
      <c r="Q18" s="124" t="s">
        <v>475</v>
      </c>
      <c r="R18" s="150">
        <v>0</v>
      </c>
    </row>
    <row r="19" spans="1:18" ht="18" customHeight="1" x14ac:dyDescent="0.25">
      <c r="A19" s="168"/>
      <c r="B19" s="138"/>
      <c r="C19" s="139"/>
      <c r="D19" s="140"/>
      <c r="E19" s="141"/>
      <c r="F19" s="117" t="str">
        <f>"DO"&amp;E18&amp;"-"</f>
        <v>DO9-</v>
      </c>
      <c r="G19" s="139"/>
      <c r="H19" s="139"/>
      <c r="I19" s="55" t="s">
        <v>408</v>
      </c>
      <c r="J19" s="139"/>
      <c r="K19" s="139"/>
      <c r="L19" s="117" t="s">
        <v>376</v>
      </c>
      <c r="M19" s="117" t="s">
        <v>439</v>
      </c>
      <c r="N19" s="117" t="str">
        <f ca="1">D18&amp;"/"&amp;F19</f>
        <v>016/DO9-</v>
      </c>
      <c r="O19" s="117" t="s">
        <v>564</v>
      </c>
      <c r="P19" s="117">
        <v>24</v>
      </c>
      <c r="Q19" s="142"/>
      <c r="R19" s="151"/>
    </row>
    <row r="20" spans="1:18" ht="18" customHeight="1" x14ac:dyDescent="0.25">
      <c r="A20" s="169" t="s">
        <v>268</v>
      </c>
      <c r="B20" s="101" t="s">
        <v>269</v>
      </c>
      <c r="C20" s="102" t="s">
        <v>83</v>
      </c>
      <c r="D20" s="143" t="str" cm="1">
        <f t="array" aca="1" ref="D20" ca="1">_xlfn.LET(_xlpm.filepath,CELL("filename",D20),MID(_xlpm.filepath,FIND("]",_xlpm.filepath)+1,3))</f>
        <v>016</v>
      </c>
      <c r="E20" s="144" t="s">
        <v>105</v>
      </c>
      <c r="F20" s="104" t="str">
        <f>"DO"&amp;E20&amp;"+"</f>
        <v>DO10+</v>
      </c>
      <c r="G20" s="102" t="s">
        <v>232</v>
      </c>
      <c r="H20" s="102" t="s">
        <v>233</v>
      </c>
      <c r="I20" s="58" t="s">
        <v>409</v>
      </c>
      <c r="J20" s="102" t="s">
        <v>63</v>
      </c>
      <c r="K20" s="102" t="s">
        <v>143</v>
      </c>
      <c r="L20" s="104" t="s">
        <v>378</v>
      </c>
      <c r="M20" s="104" t="s">
        <v>439</v>
      </c>
      <c r="N20" s="104" t="str">
        <f ca="1">D20&amp;"/"&amp;F20</f>
        <v>016/DO10+</v>
      </c>
      <c r="O20" s="104" t="s">
        <v>484</v>
      </c>
      <c r="P20" s="104">
        <v>1</v>
      </c>
      <c r="Q20" s="103" t="s">
        <v>475</v>
      </c>
      <c r="R20" s="105" t="s">
        <v>91</v>
      </c>
    </row>
    <row r="21" spans="1:18" ht="18" customHeight="1" x14ac:dyDescent="0.25">
      <c r="A21" s="170"/>
      <c r="B21" s="126"/>
      <c r="C21" s="127"/>
      <c r="D21" s="145"/>
      <c r="E21" s="146"/>
      <c r="F21" s="147" t="str">
        <f>"DO"&amp;E20&amp;"-"</f>
        <v>DO10-</v>
      </c>
      <c r="G21" s="127"/>
      <c r="H21" s="127"/>
      <c r="I21" s="59" t="s">
        <v>410</v>
      </c>
      <c r="J21" s="129"/>
      <c r="K21" s="127"/>
      <c r="L21" s="147" t="s">
        <v>376</v>
      </c>
      <c r="M21" s="147" t="s">
        <v>439</v>
      </c>
      <c r="N21" s="147" t="str">
        <f ca="1">D20&amp;"/"&amp;F21</f>
        <v>016/DO10-</v>
      </c>
      <c r="O21" s="147" t="s">
        <v>484</v>
      </c>
      <c r="P21" s="147">
        <v>2</v>
      </c>
      <c r="Q21" s="128"/>
      <c r="R21" s="130"/>
    </row>
    <row r="22" spans="1:18" ht="18" customHeight="1" x14ac:dyDescent="0.25">
      <c r="A22" s="171" t="s">
        <v>271</v>
      </c>
      <c r="B22" s="120" t="s">
        <v>272</v>
      </c>
      <c r="C22" s="121" t="s">
        <v>83</v>
      </c>
      <c r="D22" s="148" t="str" cm="1">
        <f t="array" aca="1" ref="D22" ca="1">_xlfn.LET(_xlpm.filepath,CELL("filename",D22),MID(_xlpm.filepath,FIND("]",_xlpm.filepath)+1,3))</f>
        <v>016</v>
      </c>
      <c r="E22" s="149" t="s">
        <v>257</v>
      </c>
      <c r="F22" s="123" t="str">
        <f>"DO"&amp;E22&amp;"+"</f>
        <v>DO11+</v>
      </c>
      <c r="G22" s="121" t="s">
        <v>232</v>
      </c>
      <c r="H22" s="121" t="s">
        <v>233</v>
      </c>
      <c r="I22" s="66" t="s">
        <v>411</v>
      </c>
      <c r="J22" s="121" t="s">
        <v>63</v>
      </c>
      <c r="K22" s="121" t="s">
        <v>146</v>
      </c>
      <c r="L22" s="123" t="s">
        <v>378</v>
      </c>
      <c r="M22" s="123" t="s">
        <v>439</v>
      </c>
      <c r="N22" s="123" t="str">
        <f ca="1">D22&amp;"/"&amp;F22</f>
        <v>016/DO11+</v>
      </c>
      <c r="O22" s="123" t="s">
        <v>484</v>
      </c>
      <c r="P22" s="123">
        <v>5</v>
      </c>
      <c r="Q22" s="124" t="s">
        <v>475</v>
      </c>
      <c r="R22" s="150">
        <v>0</v>
      </c>
    </row>
    <row r="23" spans="1:18" ht="18" customHeight="1" x14ac:dyDescent="0.25">
      <c r="A23" s="168"/>
      <c r="B23" s="138"/>
      <c r="C23" s="139"/>
      <c r="D23" s="140"/>
      <c r="E23" s="141"/>
      <c r="F23" s="117" t="str">
        <f>"DO"&amp;E22&amp;"-"</f>
        <v>DO11-</v>
      </c>
      <c r="G23" s="139"/>
      <c r="H23" s="139"/>
      <c r="I23" s="55" t="s">
        <v>412</v>
      </c>
      <c r="J23" s="139"/>
      <c r="K23" s="139"/>
      <c r="L23" s="117" t="s">
        <v>376</v>
      </c>
      <c r="M23" s="117" t="s">
        <v>439</v>
      </c>
      <c r="N23" s="117" t="str">
        <f ca="1">D22&amp;"/"&amp;F23</f>
        <v>016/DO11-</v>
      </c>
      <c r="O23" s="117" t="s">
        <v>484</v>
      </c>
      <c r="P23" s="117">
        <v>6</v>
      </c>
      <c r="Q23" s="142"/>
      <c r="R23" s="151"/>
    </row>
    <row r="24" spans="1:18" ht="18" customHeight="1" x14ac:dyDescent="0.25">
      <c r="A24" s="169" t="s">
        <v>273</v>
      </c>
      <c r="B24" s="101" t="s">
        <v>274</v>
      </c>
      <c r="C24" s="102" t="s">
        <v>83</v>
      </c>
      <c r="D24" s="143" t="str" cm="1">
        <f t="array" aca="1" ref="D24" ca="1">_xlfn.LET(_xlpm.filepath,CELL("filename",D24),MID(_xlpm.filepath,FIND("]",_xlpm.filepath)+1,3))</f>
        <v>016</v>
      </c>
      <c r="E24" s="144" t="s">
        <v>108</v>
      </c>
      <c r="F24" s="104" t="str">
        <f>"DO"&amp;E24&amp;"+"</f>
        <v>DO12+</v>
      </c>
      <c r="G24" s="102" t="s">
        <v>232</v>
      </c>
      <c r="H24" s="102" t="s">
        <v>233</v>
      </c>
      <c r="I24" s="58" t="s">
        <v>413</v>
      </c>
      <c r="J24" s="102" t="s">
        <v>63</v>
      </c>
      <c r="K24" s="102" t="s">
        <v>148</v>
      </c>
      <c r="L24" s="104" t="s">
        <v>378</v>
      </c>
      <c r="M24" s="104" t="s">
        <v>439</v>
      </c>
      <c r="N24" s="104" t="str">
        <f ca="1">D24&amp;"/"&amp;F24</f>
        <v>016/DO12+</v>
      </c>
      <c r="O24" s="104" t="s">
        <v>484</v>
      </c>
      <c r="P24" s="104">
        <v>9</v>
      </c>
      <c r="Q24" s="103" t="s">
        <v>475</v>
      </c>
      <c r="R24" s="105" t="s">
        <v>91</v>
      </c>
    </row>
    <row r="25" spans="1:18" ht="18" customHeight="1" x14ac:dyDescent="0.25">
      <c r="A25" s="170"/>
      <c r="B25" s="126"/>
      <c r="C25" s="127"/>
      <c r="D25" s="145"/>
      <c r="E25" s="146"/>
      <c r="F25" s="147" t="str">
        <f>"DO"&amp;E24&amp;"-"</f>
        <v>DO12-</v>
      </c>
      <c r="G25" s="127"/>
      <c r="H25" s="127"/>
      <c r="I25" s="59" t="s">
        <v>414</v>
      </c>
      <c r="J25" s="129"/>
      <c r="K25" s="127"/>
      <c r="L25" s="147" t="s">
        <v>376</v>
      </c>
      <c r="M25" s="147" t="s">
        <v>439</v>
      </c>
      <c r="N25" s="147" t="str">
        <f ca="1">D24&amp;"/"&amp;F25</f>
        <v>016/DO12-</v>
      </c>
      <c r="O25" s="147" t="s">
        <v>484</v>
      </c>
      <c r="P25" s="147">
        <v>10</v>
      </c>
      <c r="Q25" s="128"/>
      <c r="R25" s="130"/>
    </row>
    <row r="26" spans="1:18" ht="18" customHeight="1" x14ac:dyDescent="0.25">
      <c r="A26" s="171" t="s">
        <v>276</v>
      </c>
      <c r="B26" s="120" t="s">
        <v>277</v>
      </c>
      <c r="C26" s="121" t="s">
        <v>83</v>
      </c>
      <c r="D26" s="148" t="str" cm="1">
        <f t="array" aca="1" ref="D26" ca="1">_xlfn.LET(_xlpm.filepath,CELL("filename",D26),MID(_xlpm.filepath,FIND("]",_xlpm.filepath)+1,3))</f>
        <v>016</v>
      </c>
      <c r="E26" s="149" t="s">
        <v>262</v>
      </c>
      <c r="F26" s="123" t="str">
        <f>"DO"&amp;E26&amp;"+"</f>
        <v>DO13+</v>
      </c>
      <c r="G26" s="121" t="s">
        <v>232</v>
      </c>
      <c r="H26" s="121" t="s">
        <v>233</v>
      </c>
      <c r="I26" s="53" t="s">
        <v>415</v>
      </c>
      <c r="J26" s="121" t="s">
        <v>63</v>
      </c>
      <c r="K26" s="121" t="s">
        <v>151</v>
      </c>
      <c r="L26" s="123" t="s">
        <v>378</v>
      </c>
      <c r="M26" s="123" t="s">
        <v>439</v>
      </c>
      <c r="N26" s="123" t="str">
        <f ca="1">D26&amp;"/"&amp;F26</f>
        <v>016/DO13+</v>
      </c>
      <c r="O26" s="123" t="s">
        <v>484</v>
      </c>
      <c r="P26" s="123">
        <v>13</v>
      </c>
      <c r="Q26" s="124" t="s">
        <v>475</v>
      </c>
      <c r="R26" s="150">
        <v>0</v>
      </c>
    </row>
    <row r="27" spans="1:18" ht="18" customHeight="1" x14ac:dyDescent="0.25">
      <c r="A27" s="168"/>
      <c r="B27" s="138"/>
      <c r="C27" s="139"/>
      <c r="D27" s="140"/>
      <c r="E27" s="141"/>
      <c r="F27" s="117" t="str">
        <f>"DO"&amp;E26&amp;"-"</f>
        <v>DO13-</v>
      </c>
      <c r="G27" s="139"/>
      <c r="H27" s="139"/>
      <c r="I27" s="55" t="s">
        <v>416</v>
      </c>
      <c r="J27" s="139"/>
      <c r="K27" s="139"/>
      <c r="L27" s="117" t="s">
        <v>376</v>
      </c>
      <c r="M27" s="117" t="s">
        <v>439</v>
      </c>
      <c r="N27" s="117" t="str">
        <f ca="1">D26&amp;"/"&amp;F27</f>
        <v>016/DO13-</v>
      </c>
      <c r="O27" s="117" t="s">
        <v>484</v>
      </c>
      <c r="P27" s="117">
        <v>14</v>
      </c>
      <c r="Q27" s="142"/>
      <c r="R27" s="151"/>
    </row>
    <row r="28" spans="1:18" ht="18" customHeight="1" x14ac:dyDescent="0.25">
      <c r="A28" s="169" t="s">
        <v>278</v>
      </c>
      <c r="B28" s="101" t="s">
        <v>279</v>
      </c>
      <c r="C28" s="102" t="s">
        <v>83</v>
      </c>
      <c r="D28" s="143" t="str" cm="1">
        <f t="array" aca="1" ref="D28" ca="1">_xlfn.LET(_xlpm.filepath,CELL("filename",D28),MID(_xlpm.filepath,FIND("]",_xlpm.filepath)+1,3))</f>
        <v>016</v>
      </c>
      <c r="E28" s="144" t="s">
        <v>112</v>
      </c>
      <c r="F28" s="104" t="str">
        <f>"DO"&amp;E28&amp;"+"</f>
        <v>DO14+</v>
      </c>
      <c r="G28" s="102" t="s">
        <v>232</v>
      </c>
      <c r="H28" s="102" t="s">
        <v>233</v>
      </c>
      <c r="I28" s="58" t="s">
        <v>417</v>
      </c>
      <c r="J28" s="102" t="s">
        <v>63</v>
      </c>
      <c r="K28" s="102" t="s">
        <v>153</v>
      </c>
      <c r="L28" s="104" t="s">
        <v>378</v>
      </c>
      <c r="M28" s="104" t="s">
        <v>439</v>
      </c>
      <c r="N28" s="104" t="str">
        <f ca="1">D28&amp;"/"&amp;F28</f>
        <v>016/DO14+</v>
      </c>
      <c r="O28" s="104" t="s">
        <v>484</v>
      </c>
      <c r="P28" s="104">
        <v>17</v>
      </c>
      <c r="Q28" s="103" t="s">
        <v>475</v>
      </c>
      <c r="R28" s="105" t="s">
        <v>91</v>
      </c>
    </row>
    <row r="29" spans="1:18" ht="18" customHeight="1" x14ac:dyDescent="0.25">
      <c r="A29" s="170"/>
      <c r="B29" s="126"/>
      <c r="C29" s="127"/>
      <c r="D29" s="145"/>
      <c r="E29" s="146"/>
      <c r="F29" s="147" t="str">
        <f>"DO"&amp;E28&amp;"-"</f>
        <v>DO14-</v>
      </c>
      <c r="G29" s="127"/>
      <c r="H29" s="127"/>
      <c r="I29" s="59" t="s">
        <v>418</v>
      </c>
      <c r="J29" s="129"/>
      <c r="K29" s="127"/>
      <c r="L29" s="147" t="s">
        <v>376</v>
      </c>
      <c r="M29" s="147" t="s">
        <v>439</v>
      </c>
      <c r="N29" s="147" t="str">
        <f ca="1">D28&amp;"/"&amp;F29</f>
        <v>016/DO14-</v>
      </c>
      <c r="O29" s="147" t="s">
        <v>484</v>
      </c>
      <c r="P29" s="147">
        <v>18</v>
      </c>
      <c r="Q29" s="128"/>
      <c r="R29" s="130"/>
    </row>
    <row r="30" spans="1:18" ht="18" customHeight="1" x14ac:dyDescent="0.25">
      <c r="A30" s="171" t="s">
        <v>341</v>
      </c>
      <c r="B30" s="120" t="s">
        <v>577</v>
      </c>
      <c r="C30" s="121" t="s">
        <v>83</v>
      </c>
      <c r="D30" s="148" t="str" cm="1">
        <f t="array" aca="1" ref="D30" ca="1">_xlfn.LET(_xlpm.filepath,CELL("filename",D30),MID(_xlpm.filepath,FIND("]",_xlpm.filepath)+1,3))</f>
        <v>016</v>
      </c>
      <c r="E30" s="149" t="s">
        <v>267</v>
      </c>
      <c r="F30" s="123" t="str">
        <f>"DO"&amp;E30&amp;"+"</f>
        <v>DO15+</v>
      </c>
      <c r="G30" s="121" t="s">
        <v>232</v>
      </c>
      <c r="H30" s="121" t="s">
        <v>233</v>
      </c>
      <c r="I30" s="53" t="s">
        <v>419</v>
      </c>
      <c r="J30" s="121" t="s">
        <v>75</v>
      </c>
      <c r="K30" s="121" t="s">
        <v>159</v>
      </c>
      <c r="L30" s="123" t="s">
        <v>378</v>
      </c>
      <c r="M30" s="123" t="s">
        <v>439</v>
      </c>
      <c r="N30" s="123" t="str">
        <f ca="1">D30&amp;"/"&amp;F30</f>
        <v>016/DO15+</v>
      </c>
      <c r="O30" s="123" t="s">
        <v>504</v>
      </c>
      <c r="P30" s="123">
        <v>7</v>
      </c>
      <c r="Q30" s="124" t="s">
        <v>475</v>
      </c>
      <c r="R30" s="150">
        <v>0</v>
      </c>
    </row>
    <row r="31" spans="1:18" ht="18" customHeight="1" x14ac:dyDescent="0.25">
      <c r="A31" s="168"/>
      <c r="B31" s="138"/>
      <c r="C31" s="139"/>
      <c r="D31" s="140"/>
      <c r="E31" s="141"/>
      <c r="F31" s="117" t="str">
        <f>"DO"&amp;E30&amp;"-"</f>
        <v>DO15-</v>
      </c>
      <c r="G31" s="139"/>
      <c r="H31" s="139"/>
      <c r="I31" s="55" t="s">
        <v>420</v>
      </c>
      <c r="J31" s="139"/>
      <c r="K31" s="139"/>
      <c r="L31" s="117" t="s">
        <v>376</v>
      </c>
      <c r="M31" s="117" t="s">
        <v>439</v>
      </c>
      <c r="N31" s="117" t="str">
        <f ca="1">D30&amp;"/"&amp;F31</f>
        <v>016/DO15-</v>
      </c>
      <c r="O31" s="117" t="s">
        <v>504</v>
      </c>
      <c r="P31" s="117">
        <v>8</v>
      </c>
      <c r="Q31" s="142"/>
      <c r="R31" s="151"/>
    </row>
    <row r="32" spans="1:18" ht="18" customHeight="1" x14ac:dyDescent="0.25">
      <c r="A32" s="169" t="s">
        <v>342</v>
      </c>
      <c r="B32" s="101" t="s">
        <v>576</v>
      </c>
      <c r="C32" s="102" t="s">
        <v>83</v>
      </c>
      <c r="D32" s="143" t="str" cm="1">
        <f t="array" aca="1" ref="D32" ca="1">_xlfn.LET(_xlpm.filepath,CELL("filename",D32),MID(_xlpm.filepath,FIND("]",_xlpm.filepath)+1,3))</f>
        <v>016</v>
      </c>
      <c r="E32" s="144" t="s">
        <v>118</v>
      </c>
      <c r="F32" s="104" t="str">
        <f>"DO"&amp;E32&amp;"+"</f>
        <v>DO16+</v>
      </c>
      <c r="G32" s="102" t="s">
        <v>232</v>
      </c>
      <c r="H32" s="102" t="s">
        <v>233</v>
      </c>
      <c r="I32" s="58" t="s">
        <v>421</v>
      </c>
      <c r="J32" s="102" t="s">
        <v>75</v>
      </c>
      <c r="K32" s="102" t="s">
        <v>164</v>
      </c>
      <c r="L32" s="104" t="s">
        <v>378</v>
      </c>
      <c r="M32" s="104" t="s">
        <v>439</v>
      </c>
      <c r="N32" s="104" t="str">
        <f ca="1">D32&amp;"/"&amp;F32</f>
        <v>016/DO16+</v>
      </c>
      <c r="O32" s="104" t="s">
        <v>505</v>
      </c>
      <c r="P32" s="104">
        <v>7</v>
      </c>
      <c r="Q32" s="103" t="s">
        <v>475</v>
      </c>
      <c r="R32" s="105" t="s">
        <v>91</v>
      </c>
    </row>
    <row r="33" spans="1:18" ht="18" customHeight="1" x14ac:dyDescent="0.25">
      <c r="A33" s="170"/>
      <c r="B33" s="126"/>
      <c r="C33" s="127"/>
      <c r="D33" s="145"/>
      <c r="E33" s="146"/>
      <c r="F33" s="147" t="str">
        <f>"DO"&amp;E32&amp;"-"</f>
        <v>DO16-</v>
      </c>
      <c r="G33" s="127"/>
      <c r="H33" s="127"/>
      <c r="I33" s="59" t="s">
        <v>422</v>
      </c>
      <c r="J33" s="129"/>
      <c r="K33" s="127"/>
      <c r="L33" s="147" t="s">
        <v>376</v>
      </c>
      <c r="M33" s="147" t="s">
        <v>439</v>
      </c>
      <c r="N33" s="147" t="str">
        <f ca="1">D32&amp;"/"&amp;F33</f>
        <v>016/DO16-</v>
      </c>
      <c r="O33" s="147" t="s">
        <v>505</v>
      </c>
      <c r="P33" s="147">
        <v>8</v>
      </c>
      <c r="Q33" s="128"/>
      <c r="R33" s="130"/>
    </row>
    <row r="34" spans="1:18" ht="18" customHeight="1" x14ac:dyDescent="0.25">
      <c r="A34" s="171" t="s">
        <v>343</v>
      </c>
      <c r="B34" s="120" t="s">
        <v>575</v>
      </c>
      <c r="C34" s="121" t="s">
        <v>83</v>
      </c>
      <c r="D34" s="148" t="str" cm="1">
        <f t="array" aca="1" ref="D34" ca="1">_xlfn.LET(_xlpm.filepath,CELL("filename",D34),MID(_xlpm.filepath,FIND("]",_xlpm.filepath)+1,3))</f>
        <v>016</v>
      </c>
      <c r="E34" s="149" t="s">
        <v>270</v>
      </c>
      <c r="F34" s="123" t="str">
        <f>"DO"&amp;E34&amp;"+"</f>
        <v>DO17+</v>
      </c>
      <c r="G34" s="121" t="s">
        <v>232</v>
      </c>
      <c r="H34" s="121" t="s">
        <v>233</v>
      </c>
      <c r="I34" s="53" t="s">
        <v>423</v>
      </c>
      <c r="J34" s="121" t="s">
        <v>75</v>
      </c>
      <c r="K34" s="121" t="s">
        <v>171</v>
      </c>
      <c r="L34" s="123" t="s">
        <v>378</v>
      </c>
      <c r="M34" s="123" t="s">
        <v>439</v>
      </c>
      <c r="N34" s="123" t="str">
        <f ca="1">D34&amp;"/"&amp;F34</f>
        <v>016/DO17+</v>
      </c>
      <c r="O34" s="123" t="s">
        <v>508</v>
      </c>
      <c r="P34" s="123">
        <v>7</v>
      </c>
      <c r="Q34" s="124" t="s">
        <v>475</v>
      </c>
      <c r="R34" s="150">
        <v>0</v>
      </c>
    </row>
    <row r="35" spans="1:18" ht="18" customHeight="1" x14ac:dyDescent="0.25">
      <c r="A35" s="168"/>
      <c r="B35" s="138"/>
      <c r="C35" s="139"/>
      <c r="D35" s="140"/>
      <c r="E35" s="141"/>
      <c r="F35" s="117" t="str">
        <f>"DO"&amp;E34&amp;"-"</f>
        <v>DO17-</v>
      </c>
      <c r="G35" s="139"/>
      <c r="H35" s="139"/>
      <c r="I35" s="55" t="s">
        <v>424</v>
      </c>
      <c r="J35" s="139"/>
      <c r="K35" s="139"/>
      <c r="L35" s="117" t="s">
        <v>376</v>
      </c>
      <c r="M35" s="117" t="s">
        <v>439</v>
      </c>
      <c r="N35" s="117" t="str">
        <f ca="1">D34&amp;"/"&amp;F35</f>
        <v>016/DO17-</v>
      </c>
      <c r="O35" s="117" t="s">
        <v>508</v>
      </c>
      <c r="P35" s="117">
        <v>8</v>
      </c>
      <c r="Q35" s="142"/>
      <c r="R35" s="151"/>
    </row>
    <row r="36" spans="1:18" ht="18" customHeight="1" x14ac:dyDescent="0.25">
      <c r="A36" s="169" t="s">
        <v>344</v>
      </c>
      <c r="B36" s="101" t="s">
        <v>574</v>
      </c>
      <c r="C36" s="102" t="s">
        <v>83</v>
      </c>
      <c r="D36" s="143" t="str" cm="1">
        <f t="array" aca="1" ref="D36" ca="1">_xlfn.LET(_xlpm.filepath,CELL("filename",D36),MID(_xlpm.filepath,FIND("]",_xlpm.filepath)+1,3))</f>
        <v>016</v>
      </c>
      <c r="E36" s="144" t="s">
        <v>123</v>
      </c>
      <c r="F36" s="104" t="str">
        <f>"DO"&amp;E36&amp;"+"</f>
        <v>DO18+</v>
      </c>
      <c r="G36" s="102" t="s">
        <v>232</v>
      </c>
      <c r="H36" s="102" t="s">
        <v>233</v>
      </c>
      <c r="I36" s="58" t="s">
        <v>425</v>
      </c>
      <c r="J36" s="102" t="s">
        <v>75</v>
      </c>
      <c r="K36" s="102" t="s">
        <v>175</v>
      </c>
      <c r="L36" s="104" t="s">
        <v>378</v>
      </c>
      <c r="M36" s="104" t="s">
        <v>439</v>
      </c>
      <c r="N36" s="104" t="str">
        <f ca="1">D36&amp;"/"&amp;F36</f>
        <v>016/DO18+</v>
      </c>
      <c r="O36" s="104" t="s">
        <v>509</v>
      </c>
      <c r="P36" s="104">
        <v>7</v>
      </c>
      <c r="Q36" s="103" t="s">
        <v>475</v>
      </c>
      <c r="R36" s="105" t="s">
        <v>91</v>
      </c>
    </row>
    <row r="37" spans="1:18" ht="18" customHeight="1" x14ac:dyDescent="0.25">
      <c r="A37" s="170"/>
      <c r="B37" s="126"/>
      <c r="C37" s="127"/>
      <c r="D37" s="145"/>
      <c r="E37" s="146"/>
      <c r="F37" s="147" t="str">
        <f>"DO"&amp;E36&amp;"-"</f>
        <v>DO18-</v>
      </c>
      <c r="G37" s="127"/>
      <c r="H37" s="127"/>
      <c r="I37" s="59" t="s">
        <v>426</v>
      </c>
      <c r="J37" s="129"/>
      <c r="K37" s="127"/>
      <c r="L37" s="147" t="s">
        <v>376</v>
      </c>
      <c r="M37" s="147" t="s">
        <v>439</v>
      </c>
      <c r="N37" s="147" t="str">
        <f ca="1">D36&amp;"/"&amp;F37</f>
        <v>016/DO18-</v>
      </c>
      <c r="O37" s="147" t="s">
        <v>509</v>
      </c>
      <c r="P37" s="147">
        <v>8</v>
      </c>
      <c r="Q37" s="128"/>
      <c r="R37" s="130"/>
    </row>
    <row r="38" spans="1:18" ht="18" customHeight="1" x14ac:dyDescent="0.25">
      <c r="A38" s="171" t="s">
        <v>345</v>
      </c>
      <c r="B38" s="120" t="s">
        <v>573</v>
      </c>
      <c r="C38" s="121" t="s">
        <v>83</v>
      </c>
      <c r="D38" s="148" t="str" cm="1">
        <f t="array" aca="1" ref="D38" ca="1">_xlfn.LET(_xlpm.filepath,CELL("filename",D38),MID(_xlpm.filepath,FIND("]",_xlpm.filepath)+1,3))</f>
        <v>016</v>
      </c>
      <c r="E38" s="149" t="s">
        <v>275</v>
      </c>
      <c r="F38" s="123" t="str">
        <f>"DO"&amp;E38&amp;"+"</f>
        <v>DO19+</v>
      </c>
      <c r="G38" s="121" t="s">
        <v>232</v>
      </c>
      <c r="H38" s="121" t="s">
        <v>233</v>
      </c>
      <c r="I38" s="53" t="s">
        <v>427</v>
      </c>
      <c r="J38" s="121" t="s">
        <v>75</v>
      </c>
      <c r="K38" s="121" t="s">
        <v>346</v>
      </c>
      <c r="L38" s="123" t="s">
        <v>378</v>
      </c>
      <c r="M38" s="123" t="s">
        <v>439</v>
      </c>
      <c r="N38" s="123" t="str">
        <f ca="1">D38&amp;"/"&amp;F38</f>
        <v>016/DO19+</v>
      </c>
      <c r="O38" s="123" t="s">
        <v>512</v>
      </c>
      <c r="P38" s="123">
        <v>7</v>
      </c>
      <c r="Q38" s="124" t="s">
        <v>475</v>
      </c>
      <c r="R38" s="150">
        <v>0</v>
      </c>
    </row>
    <row r="39" spans="1:18" ht="18" customHeight="1" x14ac:dyDescent="0.25">
      <c r="A39" s="168"/>
      <c r="B39" s="138"/>
      <c r="C39" s="139"/>
      <c r="D39" s="140"/>
      <c r="E39" s="141"/>
      <c r="F39" s="117" t="str">
        <f>"DO"&amp;E38&amp;"-"</f>
        <v>DO19-</v>
      </c>
      <c r="G39" s="139"/>
      <c r="H39" s="139"/>
      <c r="I39" s="55" t="s">
        <v>428</v>
      </c>
      <c r="J39" s="139"/>
      <c r="K39" s="139"/>
      <c r="L39" s="117" t="s">
        <v>376</v>
      </c>
      <c r="M39" s="117" t="s">
        <v>439</v>
      </c>
      <c r="N39" s="117" t="str">
        <f ca="1">D38&amp;"/"&amp;F39</f>
        <v>016/DO19-</v>
      </c>
      <c r="O39" s="117" t="s">
        <v>512</v>
      </c>
      <c r="P39" s="117">
        <v>8</v>
      </c>
      <c r="Q39" s="142"/>
      <c r="R39" s="151"/>
    </row>
    <row r="40" spans="1:18" ht="18" customHeight="1" x14ac:dyDescent="0.25">
      <c r="A40" s="169" t="s">
        <v>347</v>
      </c>
      <c r="B40" s="101" t="s">
        <v>572</v>
      </c>
      <c r="C40" s="102" t="s">
        <v>83</v>
      </c>
      <c r="D40" s="143" t="str" cm="1">
        <f t="array" aca="1" ref="D40" ca="1">_xlfn.LET(_xlpm.filepath,CELL("filename",D40),MID(_xlpm.filepath,FIND("]",_xlpm.filepath)+1,3))</f>
        <v>016</v>
      </c>
      <c r="E40" s="144" t="s">
        <v>128</v>
      </c>
      <c r="F40" s="104" t="str">
        <f>"DO"&amp;E40&amp;"+"</f>
        <v>DO20+</v>
      </c>
      <c r="G40" s="102" t="s">
        <v>232</v>
      </c>
      <c r="H40" s="102" t="s">
        <v>233</v>
      </c>
      <c r="I40" s="58" t="s">
        <v>429</v>
      </c>
      <c r="J40" s="102" t="s">
        <v>75</v>
      </c>
      <c r="K40" s="102" t="s">
        <v>187</v>
      </c>
      <c r="L40" s="104" t="s">
        <v>378</v>
      </c>
      <c r="M40" s="104" t="s">
        <v>439</v>
      </c>
      <c r="N40" s="104" t="str">
        <f ca="1">D40&amp;"/"&amp;F40</f>
        <v>016/DO20+</v>
      </c>
      <c r="O40" s="104" t="s">
        <v>513</v>
      </c>
      <c r="P40" s="104">
        <v>7</v>
      </c>
      <c r="Q40" s="103" t="s">
        <v>475</v>
      </c>
      <c r="R40" s="105" t="s">
        <v>91</v>
      </c>
    </row>
    <row r="41" spans="1:18" ht="18" customHeight="1" x14ac:dyDescent="0.25">
      <c r="A41" s="170"/>
      <c r="B41" s="126"/>
      <c r="C41" s="127"/>
      <c r="D41" s="145"/>
      <c r="E41" s="146"/>
      <c r="F41" s="147" t="str">
        <f>"DO"&amp;E40&amp;"-"</f>
        <v>DO20-</v>
      </c>
      <c r="G41" s="127"/>
      <c r="H41" s="127"/>
      <c r="I41" s="59" t="s">
        <v>430</v>
      </c>
      <c r="J41" s="129"/>
      <c r="K41" s="127"/>
      <c r="L41" s="147" t="s">
        <v>376</v>
      </c>
      <c r="M41" s="147" t="s">
        <v>439</v>
      </c>
      <c r="N41" s="147" t="str">
        <f ca="1">D40&amp;"/"&amp;F41</f>
        <v>016/DO20-</v>
      </c>
      <c r="O41" s="147" t="s">
        <v>513</v>
      </c>
      <c r="P41" s="147">
        <v>8</v>
      </c>
      <c r="Q41" s="128"/>
      <c r="R41" s="130"/>
    </row>
    <row r="42" spans="1:18" ht="18" customHeight="1" x14ac:dyDescent="0.25">
      <c r="A42" s="119" t="str">
        <f ca="1">"SPDO-"&amp;D42&amp;"/"&amp;E42</f>
        <v>SPDO-016/21</v>
      </c>
      <c r="B42" s="120" t="s">
        <v>379</v>
      </c>
      <c r="C42" s="121" t="s">
        <v>83</v>
      </c>
      <c r="D42" s="148" t="str" cm="1">
        <f t="array" aca="1" ref="D42" ca="1">_xlfn.LET(_xlpm.filepath,CELL("filename",D42),MID(_xlpm.filepath,FIND("]",_xlpm.filepath)+1,3))</f>
        <v>016</v>
      </c>
      <c r="E42" s="149" t="s">
        <v>280</v>
      </c>
      <c r="F42" s="123" t="str">
        <f>"DO"&amp;E42&amp;"+"</f>
        <v>DO21+</v>
      </c>
      <c r="G42" s="121" t="s">
        <v>232</v>
      </c>
      <c r="H42" s="121" t="s">
        <v>233</v>
      </c>
      <c r="I42" s="53" t="s">
        <v>431</v>
      </c>
      <c r="J42" s="121"/>
      <c r="K42" s="121"/>
      <c r="L42" s="123" t="s">
        <v>378</v>
      </c>
      <c r="M42" s="123" t="s">
        <v>439</v>
      </c>
      <c r="N42" s="123" t="str">
        <f ca="1">D42&amp;"/"&amp;F42</f>
        <v>016/DO21+</v>
      </c>
      <c r="O42" s="123" t="s">
        <v>527</v>
      </c>
      <c r="P42" s="123">
        <v>39</v>
      </c>
      <c r="Q42" s="124" t="s">
        <v>475</v>
      </c>
      <c r="R42" s="150">
        <v>0</v>
      </c>
    </row>
    <row r="43" spans="1:18" ht="18" customHeight="1" x14ac:dyDescent="0.25">
      <c r="A43" s="137"/>
      <c r="B43" s="138"/>
      <c r="C43" s="139"/>
      <c r="D43" s="140"/>
      <c r="E43" s="141"/>
      <c r="F43" s="117" t="str">
        <f>"DO"&amp;E42&amp;"-"</f>
        <v>DO21-</v>
      </c>
      <c r="G43" s="139"/>
      <c r="H43" s="139"/>
      <c r="I43" s="55" t="s">
        <v>432</v>
      </c>
      <c r="J43" s="139"/>
      <c r="K43" s="139"/>
      <c r="L43" s="117" t="s">
        <v>376</v>
      </c>
      <c r="M43" s="117" t="s">
        <v>439</v>
      </c>
      <c r="N43" s="117" t="str">
        <f ca="1">D42&amp;"/"&amp;F43</f>
        <v>016/DO21-</v>
      </c>
      <c r="O43" s="117" t="s">
        <v>527</v>
      </c>
      <c r="P43" s="117">
        <v>40</v>
      </c>
      <c r="Q43" s="142"/>
      <c r="R43" s="151"/>
    </row>
    <row r="44" spans="1:18" ht="18" customHeight="1" x14ac:dyDescent="0.25">
      <c r="A44" s="100" t="str">
        <f ca="1">"SPDO-"&amp;D44&amp;"/"&amp;E44</f>
        <v>SPDO-016/22</v>
      </c>
      <c r="B44" s="101" t="s">
        <v>379</v>
      </c>
      <c r="C44" s="102" t="s">
        <v>83</v>
      </c>
      <c r="D44" s="143" t="str" cm="1">
        <f t="array" aca="1" ref="D44" ca="1">_xlfn.LET(_xlpm.filepath,CELL("filename",D44),MID(_xlpm.filepath,FIND("]",_xlpm.filepath)+1,3))</f>
        <v>016</v>
      </c>
      <c r="E44" s="144" t="s">
        <v>132</v>
      </c>
      <c r="F44" s="104" t="str">
        <f>"DO"&amp;E44&amp;"+"</f>
        <v>DO22+</v>
      </c>
      <c r="G44" s="102" t="s">
        <v>232</v>
      </c>
      <c r="H44" s="102" t="s">
        <v>233</v>
      </c>
      <c r="I44" s="58" t="s">
        <v>433</v>
      </c>
      <c r="J44" s="102"/>
      <c r="K44" s="102"/>
      <c r="L44" s="104" t="s">
        <v>378</v>
      </c>
      <c r="M44" s="104" t="s">
        <v>439</v>
      </c>
      <c r="N44" s="104" t="str">
        <f ca="1">D44&amp;"/"&amp;F44</f>
        <v>016/DO22+</v>
      </c>
      <c r="O44" s="104" t="s">
        <v>527</v>
      </c>
      <c r="P44" s="104">
        <v>41</v>
      </c>
      <c r="Q44" s="103" t="s">
        <v>475</v>
      </c>
      <c r="R44" s="105" t="s">
        <v>91</v>
      </c>
    </row>
    <row r="45" spans="1:18" ht="18" customHeight="1" x14ac:dyDescent="0.25">
      <c r="A45" s="125"/>
      <c r="B45" s="126"/>
      <c r="C45" s="127"/>
      <c r="D45" s="145"/>
      <c r="E45" s="146"/>
      <c r="F45" s="147" t="str">
        <f>"DO"&amp;E44&amp;"-"</f>
        <v>DO22-</v>
      </c>
      <c r="G45" s="127"/>
      <c r="H45" s="127"/>
      <c r="I45" s="59" t="s">
        <v>434</v>
      </c>
      <c r="J45" s="129"/>
      <c r="K45" s="127"/>
      <c r="L45" s="147" t="s">
        <v>376</v>
      </c>
      <c r="M45" s="147" t="s">
        <v>439</v>
      </c>
      <c r="N45" s="147" t="str">
        <f ca="1">D44&amp;"/"&amp;F45</f>
        <v>016/DO22-</v>
      </c>
      <c r="O45" s="147" t="s">
        <v>527</v>
      </c>
      <c r="P45" s="147">
        <v>42</v>
      </c>
      <c r="Q45" s="128"/>
      <c r="R45" s="130"/>
    </row>
    <row r="46" spans="1:18" ht="18" customHeight="1" x14ac:dyDescent="0.25">
      <c r="A46" s="119" t="str">
        <f ca="1">"SPDO-"&amp;D46&amp;"/"&amp;E46</f>
        <v>SPDO-016/23</v>
      </c>
      <c r="B46" s="120" t="s">
        <v>379</v>
      </c>
      <c r="C46" s="121" t="s">
        <v>83</v>
      </c>
      <c r="D46" s="148" t="str" cm="1">
        <f t="array" aca="1" ref="D46" ca="1">_xlfn.LET(_xlpm.filepath,CELL("filename",D46),MID(_xlpm.filepath,FIND("]",_xlpm.filepath)+1,3))</f>
        <v>016</v>
      </c>
      <c r="E46" s="149" t="s">
        <v>283</v>
      </c>
      <c r="F46" s="123" t="str">
        <f>"DO"&amp;E46&amp;"+"</f>
        <v>DO23+</v>
      </c>
      <c r="G46" s="121" t="s">
        <v>232</v>
      </c>
      <c r="H46" s="121" t="s">
        <v>233</v>
      </c>
      <c r="I46" s="53" t="s">
        <v>435</v>
      </c>
      <c r="J46" s="121"/>
      <c r="K46" s="121"/>
      <c r="L46" s="123" t="s">
        <v>378</v>
      </c>
      <c r="M46" s="123" t="s">
        <v>439</v>
      </c>
      <c r="N46" s="123" t="str">
        <f ca="1">D46&amp;"/"&amp;F46</f>
        <v>016/DO23+</v>
      </c>
      <c r="O46" s="123" t="s">
        <v>527</v>
      </c>
      <c r="P46" s="123">
        <v>43</v>
      </c>
      <c r="Q46" s="124" t="s">
        <v>475</v>
      </c>
      <c r="R46" s="150">
        <v>0</v>
      </c>
    </row>
    <row r="47" spans="1:18" ht="18" customHeight="1" x14ac:dyDescent="0.25">
      <c r="A47" s="137"/>
      <c r="B47" s="138"/>
      <c r="C47" s="139"/>
      <c r="D47" s="140"/>
      <c r="E47" s="141"/>
      <c r="F47" s="117" t="str">
        <f>"DO"&amp;E46&amp;"-"</f>
        <v>DO23-</v>
      </c>
      <c r="G47" s="139"/>
      <c r="H47" s="139"/>
      <c r="I47" s="55" t="s">
        <v>436</v>
      </c>
      <c r="J47" s="139"/>
      <c r="K47" s="139"/>
      <c r="L47" s="117" t="s">
        <v>376</v>
      </c>
      <c r="M47" s="117" t="s">
        <v>439</v>
      </c>
      <c r="N47" s="117" t="str">
        <f ca="1">D46&amp;"/"&amp;F47</f>
        <v>016/DO23-</v>
      </c>
      <c r="O47" s="117" t="s">
        <v>527</v>
      </c>
      <c r="P47" s="117">
        <v>44</v>
      </c>
      <c r="Q47" s="142"/>
      <c r="R47" s="151"/>
    </row>
    <row r="48" spans="1:18" ht="18" customHeight="1" x14ac:dyDescent="0.25">
      <c r="A48" s="219" t="s">
        <v>626</v>
      </c>
      <c r="B48" s="101" t="s">
        <v>379</v>
      </c>
      <c r="C48" s="102" t="s">
        <v>83</v>
      </c>
      <c r="D48" s="143" t="str" cm="1">
        <f t="array" aca="1" ref="D48" ca="1">_xlfn.LET(_xlpm.filepath,CELL("filename",D48),MID(_xlpm.filepath,FIND("]",_xlpm.filepath)+1,3))</f>
        <v>016</v>
      </c>
      <c r="E48" s="144" t="s">
        <v>137</v>
      </c>
      <c r="F48" s="104" t="str">
        <f>"DO"&amp;E48&amp;"+"</f>
        <v>DO24+</v>
      </c>
      <c r="G48" s="102" t="s">
        <v>232</v>
      </c>
      <c r="H48" s="102" t="s">
        <v>233</v>
      </c>
      <c r="I48" s="58" t="s">
        <v>437</v>
      </c>
      <c r="J48" s="102"/>
      <c r="K48" s="102"/>
      <c r="L48" s="104" t="s">
        <v>378</v>
      </c>
      <c r="M48" s="220" t="s">
        <v>439</v>
      </c>
      <c r="N48" s="104" t="str">
        <f ca="1">D48&amp;"/"&amp;F48</f>
        <v>016/DO24+</v>
      </c>
      <c r="O48" s="104" t="s">
        <v>527</v>
      </c>
      <c r="P48" s="104">
        <v>45</v>
      </c>
      <c r="Q48" s="103" t="s">
        <v>475</v>
      </c>
      <c r="R48" s="105" t="s">
        <v>91</v>
      </c>
    </row>
    <row r="49" spans="1:18" ht="18" customHeight="1" thickBot="1" x14ac:dyDescent="0.3">
      <c r="A49" s="153"/>
      <c r="B49" s="154"/>
      <c r="C49" s="155"/>
      <c r="D49" s="156"/>
      <c r="E49" s="157"/>
      <c r="F49" s="118" t="str">
        <f>"DO"&amp;E48&amp;"-"</f>
        <v>DO24-</v>
      </c>
      <c r="G49" s="155"/>
      <c r="H49" s="155"/>
      <c r="I49" s="62" t="s">
        <v>438</v>
      </c>
      <c r="J49" s="159"/>
      <c r="K49" s="155"/>
      <c r="L49" s="118" t="s">
        <v>376</v>
      </c>
      <c r="M49" s="118" t="s">
        <v>439</v>
      </c>
      <c r="N49" s="118" t="str">
        <f ca="1">D48&amp;"/"&amp;F49</f>
        <v>016/DO24-</v>
      </c>
      <c r="O49" s="118" t="s">
        <v>527</v>
      </c>
      <c r="P49" s="118">
        <v>46</v>
      </c>
      <c r="Q49" s="160"/>
      <c r="R49" s="161"/>
    </row>
  </sheetData>
  <pageMargins left="0.23622047244094491" right="0.23622047244094491" top="0.74803149606299213" bottom="0.74803149606299213" header="0.31496062992125984" footer="0.31496062992125984"/>
  <pageSetup paperSize="8" scale="74" orientation="landscape" r:id="rId1"/>
  <headerFooter scaleWithDoc="0">
    <oddHeader>&amp;CSlot/Type: &amp;A</oddHeader>
    <oddFooter>&amp;L&amp;F&amp;R&amp;P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1933-C35B-40D5-B60C-B6DB46ABC665}">
  <sheetPr codeName="Sheet1">
    <pageSetUpPr fitToPage="1"/>
  </sheetPr>
  <dimension ref="A1:R46"/>
  <sheetViews>
    <sheetView showWhiteSpace="0" topLeftCell="A21" zoomScale="85" zoomScaleNormal="85" workbookViewId="0">
      <selection activeCell="J73" sqref="J73"/>
    </sheetView>
  </sheetViews>
  <sheetFormatPr defaultRowHeight="15" x14ac:dyDescent="0.25"/>
  <cols>
    <col min="1" max="1" width="12" bestFit="1" customWidth="1"/>
    <col min="3" max="3" width="18" customWidth="1"/>
    <col min="4" max="4" width="26" bestFit="1" customWidth="1"/>
    <col min="5" max="5" width="5.42578125" bestFit="1" customWidth="1"/>
    <col min="6" max="6" width="9.28515625" bestFit="1" customWidth="1"/>
    <col min="7" max="7" width="14" bestFit="1" customWidth="1"/>
    <col min="8" max="8" width="10.28515625" bestFit="1" customWidth="1"/>
    <col min="9" max="9" width="16.42578125" bestFit="1" customWidth="1"/>
    <col min="10" max="10" width="16.28515625" bestFit="1" customWidth="1"/>
    <col min="11" max="14" width="4.5703125" bestFit="1" customWidth="1"/>
    <col min="15" max="15" width="4.42578125" bestFit="1" customWidth="1"/>
    <col min="16" max="16" width="4.7109375" bestFit="1" customWidth="1"/>
    <col min="17" max="17" width="5.28515625" bestFit="1" customWidth="1"/>
    <col min="18" max="18" width="4.28515625" bestFit="1" customWidth="1"/>
  </cols>
  <sheetData>
    <row r="1" spans="1:18" ht="18.75" x14ac:dyDescent="0.3">
      <c r="A1" s="28" t="s">
        <v>10</v>
      </c>
      <c r="B1" s="29" t="s">
        <v>11</v>
      </c>
      <c r="C1" s="29" t="s">
        <v>12</v>
      </c>
      <c r="J1" s="33" t="s">
        <v>13</v>
      </c>
      <c r="K1" s="34" t="s">
        <v>14</v>
      </c>
      <c r="L1" s="34" t="s">
        <v>15</v>
      </c>
      <c r="M1" s="34" t="s">
        <v>16</v>
      </c>
      <c r="N1" s="34" t="s">
        <v>17</v>
      </c>
      <c r="O1" s="34" t="s">
        <v>18</v>
      </c>
      <c r="P1" s="34" t="s">
        <v>19</v>
      </c>
      <c r="Q1" s="34" t="s">
        <v>20</v>
      </c>
      <c r="R1" s="35" t="s">
        <v>21</v>
      </c>
    </row>
    <row r="2" spans="1:18" x14ac:dyDescent="0.25">
      <c r="A2" s="1"/>
      <c r="J2" s="30" t="s">
        <v>22</v>
      </c>
      <c r="K2" s="25">
        <f t="shared" ref="K2:R2" si="0">COUNTIF($E$7:$E$46,K1)</f>
        <v>1</v>
      </c>
      <c r="L2" s="5">
        <f t="shared" si="0"/>
        <v>0</v>
      </c>
      <c r="M2" s="25">
        <f t="shared" si="0"/>
        <v>3</v>
      </c>
      <c r="N2" s="5">
        <f t="shared" si="0"/>
        <v>4</v>
      </c>
      <c r="O2" s="5">
        <f t="shared" si="0"/>
        <v>0</v>
      </c>
      <c r="P2" s="5">
        <f t="shared" si="0"/>
        <v>2</v>
      </c>
      <c r="Q2" s="5">
        <f t="shared" si="0"/>
        <v>2</v>
      </c>
      <c r="R2" s="16">
        <f t="shared" si="0"/>
        <v>6</v>
      </c>
    </row>
    <row r="3" spans="1:18" x14ac:dyDescent="0.25">
      <c r="A3" s="1"/>
      <c r="J3" s="30" t="s">
        <v>23</v>
      </c>
      <c r="K3" s="25">
        <f t="shared" ref="K3:R3" si="1">SUMIF($E$9:$E$46,K1,$F$9:$F$46)</f>
        <v>32</v>
      </c>
      <c r="L3" s="5">
        <f t="shared" si="1"/>
        <v>0</v>
      </c>
      <c r="M3" s="25">
        <f t="shared" si="1"/>
        <v>96</v>
      </c>
      <c r="N3" s="5">
        <f t="shared" si="1"/>
        <v>96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16">
        <f t="shared" si="1"/>
        <v>0</v>
      </c>
    </row>
    <row r="4" spans="1:18" x14ac:dyDescent="0.25">
      <c r="J4" s="30" t="s">
        <v>24</v>
      </c>
      <c r="K4" s="25">
        <f ca="1">SUM(K9:K46)</f>
        <v>19</v>
      </c>
      <c r="L4" s="5">
        <f ca="1">SUM(L9:L46)</f>
        <v>0</v>
      </c>
      <c r="M4" s="25">
        <f ca="1">SUM(M9:M46)</f>
        <v>66</v>
      </c>
      <c r="N4" s="5">
        <f ca="1">SUM(N9:N46)</f>
        <v>96</v>
      </c>
      <c r="O4" s="5"/>
      <c r="P4" s="5"/>
      <c r="Q4" s="5"/>
      <c r="R4" s="16"/>
    </row>
    <row r="5" spans="1:18" x14ac:dyDescent="0.25">
      <c r="J5" s="30" t="s">
        <v>25</v>
      </c>
      <c r="K5" s="25">
        <f ca="1">K3-K4</f>
        <v>13</v>
      </c>
      <c r="L5" s="5">
        <f t="shared" ref="L5:N5" ca="1" si="2">L3-L4</f>
        <v>0</v>
      </c>
      <c r="M5" s="25">
        <f t="shared" ca="1" si="2"/>
        <v>30</v>
      </c>
      <c r="N5" s="5">
        <f t="shared" ca="1" si="2"/>
        <v>0</v>
      </c>
      <c r="O5" s="5"/>
      <c r="P5" s="5"/>
      <c r="Q5" s="5"/>
      <c r="R5" s="16"/>
    </row>
    <row r="6" spans="1:18" ht="15.75" thickBot="1" x14ac:dyDescent="0.3">
      <c r="J6" s="31" t="s">
        <v>26</v>
      </c>
      <c r="K6" s="37">
        <f ca="1">IF(SUM(K2:K5)=0,"",K5/K3)</f>
        <v>0.40625</v>
      </c>
      <c r="L6" s="36" t="str">
        <f ca="1">IF(SUM(L2:L5)=0,"",L5/L3)</f>
        <v/>
      </c>
      <c r="M6" s="37">
        <f ca="1">IF(SUM(M2:M5)=0,"",M5/M3)</f>
        <v>0.3125</v>
      </c>
      <c r="N6" s="36">
        <f ca="1">IF(SUM(N2:N5)=0,"",N5/N3)</f>
        <v>0</v>
      </c>
      <c r="O6" s="7"/>
      <c r="P6" s="7"/>
      <c r="Q6" s="7"/>
      <c r="R6" s="17"/>
    </row>
    <row r="7" spans="1:18" x14ac:dyDescent="0.25">
      <c r="A7" s="18" t="s">
        <v>27</v>
      </c>
      <c r="B7" s="32">
        <v>0</v>
      </c>
      <c r="C7" s="19"/>
      <c r="D7" s="19"/>
      <c r="E7" s="19"/>
      <c r="F7" s="19"/>
      <c r="G7" s="20"/>
    </row>
    <row r="8" spans="1:18" ht="15.75" thickBot="1" x14ac:dyDescent="0.3">
      <c r="A8" s="21"/>
      <c r="B8" s="22" t="s">
        <v>28</v>
      </c>
      <c r="C8" s="22" t="s">
        <v>29</v>
      </c>
      <c r="D8" s="22" t="s">
        <v>7</v>
      </c>
      <c r="E8" s="22" t="s">
        <v>30</v>
      </c>
      <c r="F8" s="22" t="s">
        <v>31</v>
      </c>
      <c r="G8" s="23" t="s">
        <v>32</v>
      </c>
      <c r="I8" s="1" t="s">
        <v>33</v>
      </c>
    </row>
    <row r="9" spans="1:18" x14ac:dyDescent="0.25">
      <c r="A9" s="2"/>
      <c r="B9" s="9">
        <v>1</v>
      </c>
      <c r="C9" t="s">
        <v>34</v>
      </c>
      <c r="D9" s="5" t="str">
        <f>_xlfn.XLOOKUP($C9,DATA!$A:$A,DATA!$B:$B,"",0,1)</f>
        <v>Processor 31</v>
      </c>
      <c r="E9" s="5" t="str">
        <f>_xlfn.XLOOKUP($C9,DATA!$A:$A,DATA!C:C,"",0,1)</f>
        <v>CPU</v>
      </c>
      <c r="F9" s="5">
        <f>_xlfn.XLOOKUP($C9,DATA!$A:$A,DATA!D:D,"",0,1)</f>
        <v>0</v>
      </c>
      <c r="G9" s="6" t="str">
        <f t="shared" ref="G9:G26" si="3">$B$7&amp;TEXT(B9,"00")</f>
        <v>001</v>
      </c>
      <c r="I9" s="5" t="str">
        <f>IF(F9=0,"",$G9&amp;"_"&amp;$E9)</f>
        <v/>
      </c>
      <c r="K9" s="38" t="str">
        <f t="shared" ref="K9:N28" ca="1" si="4">IF(RIGHT($I9,2)=K$1,COUNTA(INDIRECT("'"&amp;$I9&amp;"'!B2:B65")),"")</f>
        <v/>
      </c>
      <c r="L9" s="14" t="str">
        <f t="shared" ca="1" si="4"/>
        <v/>
      </c>
      <c r="M9" s="40" t="str">
        <f t="shared" ca="1" si="4"/>
        <v/>
      </c>
      <c r="N9" s="15" t="str">
        <f t="shared" ca="1" si="4"/>
        <v/>
      </c>
    </row>
    <row r="10" spans="1:18" x14ac:dyDescent="0.25">
      <c r="A10" s="2"/>
      <c r="B10" s="9">
        <v>2</v>
      </c>
      <c r="C10" t="s">
        <v>34</v>
      </c>
      <c r="D10" s="5" t="str">
        <f>_xlfn.XLOOKUP($C10,DATA!$A:$A,DATA!$B:$B,"",0,1)</f>
        <v>Processor 31</v>
      </c>
      <c r="E10" s="5" t="str">
        <f>_xlfn.XLOOKUP($C10,DATA!$A:$A,DATA!C:C,"",0,1)</f>
        <v>CPU</v>
      </c>
      <c r="F10" s="5">
        <f>_xlfn.XLOOKUP($C10,DATA!$A:$A,DATA!D:D,"",0,1)</f>
        <v>0</v>
      </c>
      <c r="G10" s="6" t="str">
        <f t="shared" si="3"/>
        <v>002</v>
      </c>
      <c r="I10" s="5" t="str">
        <f t="shared" ref="I10:I26" si="5">IF(F10=0,"",$G10&amp;"_"&amp;$E10)</f>
        <v/>
      </c>
      <c r="K10" s="26" t="str">
        <f t="shared" ca="1" si="4"/>
        <v/>
      </c>
      <c r="L10" s="5" t="str">
        <f t="shared" ca="1" si="4"/>
        <v/>
      </c>
      <c r="M10" s="25" t="str">
        <f t="shared" ca="1" si="4"/>
        <v/>
      </c>
      <c r="N10" s="16" t="str">
        <f t="shared" ca="1" si="4"/>
        <v/>
      </c>
    </row>
    <row r="11" spans="1:18" x14ac:dyDescent="0.25">
      <c r="A11" s="2"/>
      <c r="B11" s="9">
        <v>3</v>
      </c>
      <c r="C11" t="s">
        <v>35</v>
      </c>
      <c r="D11" s="5" t="str">
        <f>_xlfn.XLOOKUP($C11,DATA!$A:$A,DATA!$B:$B,"",0,1)</f>
        <v>Communications</v>
      </c>
      <c r="E11" s="5" t="str">
        <f>_xlfn.XLOOKUP($C11,DATA!$A:$A,DATA!C:C,"",0,1)</f>
        <v>COM</v>
      </c>
      <c r="F11" s="5">
        <f>_xlfn.XLOOKUP($C11,DATA!$A:$A,DATA!D:D,"",0,1)</f>
        <v>0</v>
      </c>
      <c r="G11" s="6" t="str">
        <f t="shared" si="3"/>
        <v>003</v>
      </c>
      <c r="I11" s="5" t="str">
        <f t="shared" si="5"/>
        <v/>
      </c>
      <c r="K11" s="26" t="str">
        <f t="shared" ca="1" si="4"/>
        <v/>
      </c>
      <c r="L11" s="5" t="str">
        <f t="shared" ca="1" si="4"/>
        <v/>
      </c>
      <c r="M11" s="25" t="str">
        <f t="shared" ca="1" si="4"/>
        <v/>
      </c>
      <c r="N11" s="16" t="str">
        <f t="shared" ca="1" si="4"/>
        <v/>
      </c>
    </row>
    <row r="12" spans="1:18" x14ac:dyDescent="0.25">
      <c r="A12" s="2"/>
      <c r="B12" s="9">
        <v>4</v>
      </c>
      <c r="C12" t="s">
        <v>35</v>
      </c>
      <c r="D12" s="5" t="str">
        <f>_xlfn.XLOOKUP($C12,DATA!$A:$A,DATA!$B:$B,"",0,1)</f>
        <v>Communications</v>
      </c>
      <c r="E12" s="5" t="str">
        <f>_xlfn.XLOOKUP($C12,DATA!$A:$A,DATA!C:C,"",0,1)</f>
        <v>COM</v>
      </c>
      <c r="F12" s="5">
        <f>_xlfn.XLOOKUP($C12,DATA!$A:$A,DATA!D:D,"",0,1)</f>
        <v>0</v>
      </c>
      <c r="G12" s="6" t="str">
        <f t="shared" si="3"/>
        <v>004</v>
      </c>
      <c r="I12" s="5" t="str">
        <f t="shared" si="5"/>
        <v/>
      </c>
      <c r="K12" s="26" t="str">
        <f t="shared" ca="1" si="4"/>
        <v/>
      </c>
      <c r="L12" s="5" t="str">
        <f t="shared" ca="1" si="4"/>
        <v/>
      </c>
      <c r="M12" s="25" t="str">
        <f t="shared" ca="1" si="4"/>
        <v/>
      </c>
      <c r="N12" s="16" t="str">
        <f t="shared" ca="1" si="4"/>
        <v/>
      </c>
    </row>
    <row r="13" spans="1:18" x14ac:dyDescent="0.25">
      <c r="A13" s="2"/>
      <c r="B13" s="9">
        <v>5</v>
      </c>
      <c r="C13" t="s">
        <v>36</v>
      </c>
      <c r="D13" s="5" t="str">
        <f>_xlfn.XLOOKUP($C13,DATA!$A:$A,DATA!$B:$B,"",0,1)</f>
        <v>Analogue Input 32 Channels</v>
      </c>
      <c r="E13" s="5" t="str">
        <f>_xlfn.XLOOKUP($C13,DATA!$A:$A,DATA!C:C,"",0,1)</f>
        <v>AI</v>
      </c>
      <c r="F13" s="5">
        <f>_xlfn.XLOOKUP($C13,DATA!$A:$A,DATA!D:D,"",0,1)</f>
        <v>32</v>
      </c>
      <c r="G13" s="6" t="str">
        <f t="shared" si="3"/>
        <v>005</v>
      </c>
      <c r="I13" s="5" t="str">
        <f t="shared" si="5"/>
        <v>005_AI</v>
      </c>
      <c r="K13" s="26">
        <f t="shared" ca="1" si="4"/>
        <v>19</v>
      </c>
      <c r="L13" s="5" t="str">
        <f t="shared" ca="1" si="4"/>
        <v/>
      </c>
      <c r="M13" s="25" t="str">
        <f t="shared" ca="1" si="4"/>
        <v/>
      </c>
      <c r="N13" s="16" t="str">
        <f t="shared" ca="1" si="4"/>
        <v/>
      </c>
    </row>
    <row r="14" spans="1:18" x14ac:dyDescent="0.25">
      <c r="A14" s="2"/>
      <c r="B14" s="9">
        <v>6</v>
      </c>
      <c r="C14" t="s">
        <v>37</v>
      </c>
      <c r="D14" s="5" t="str">
        <f>_xlfn.XLOOKUP($C14,DATA!$A:$A,DATA!$B:$B,"",0,1)</f>
        <v>Digital Input 32 Channels</v>
      </c>
      <c r="E14" s="5" t="str">
        <f>_xlfn.XLOOKUP($C14,DATA!$A:$A,DATA!C:C,"",0,1)</f>
        <v>DI</v>
      </c>
      <c r="F14" s="5">
        <f>_xlfn.XLOOKUP($C14,DATA!$A:$A,DATA!D:D,"",0,1)</f>
        <v>32</v>
      </c>
      <c r="G14" s="6" t="str">
        <f t="shared" si="3"/>
        <v>006</v>
      </c>
      <c r="I14" s="5" t="str">
        <f t="shared" si="5"/>
        <v>006_DI</v>
      </c>
      <c r="K14" s="26" t="str">
        <f t="shared" ca="1" si="4"/>
        <v/>
      </c>
      <c r="L14" s="5" t="str">
        <f t="shared" ca="1" si="4"/>
        <v/>
      </c>
      <c r="M14" s="25">
        <f t="shared" ca="1" si="4"/>
        <v>1</v>
      </c>
      <c r="N14" s="16" t="str">
        <f t="shared" ca="1" si="4"/>
        <v/>
      </c>
    </row>
    <row r="15" spans="1:18" x14ac:dyDescent="0.25">
      <c r="A15" s="2"/>
      <c r="B15" s="9">
        <v>7</v>
      </c>
      <c r="C15" t="s">
        <v>37</v>
      </c>
      <c r="D15" s="5" t="str">
        <f>_xlfn.XLOOKUP($C15,DATA!$A:$A,DATA!$B:$B,"",0,1)</f>
        <v>Digital Input 32 Channels</v>
      </c>
      <c r="E15" s="5" t="str">
        <f>_xlfn.XLOOKUP($C15,DATA!$A:$A,DATA!C:C,"",0,1)</f>
        <v>DI</v>
      </c>
      <c r="F15" s="5">
        <f>_xlfn.XLOOKUP($C15,DATA!$A:$A,DATA!D:D,"",0,1)</f>
        <v>32</v>
      </c>
      <c r="G15" s="6" t="str">
        <f t="shared" si="3"/>
        <v>007</v>
      </c>
      <c r="I15" s="5" t="str">
        <f t="shared" si="5"/>
        <v>007_DI</v>
      </c>
      <c r="K15" s="26" t="str">
        <f t="shared" ca="1" si="4"/>
        <v/>
      </c>
      <c r="L15" s="5" t="str">
        <f t="shared" ca="1" si="4"/>
        <v/>
      </c>
      <c r="M15" s="25">
        <f t="shared" ca="1" si="4"/>
        <v>32</v>
      </c>
      <c r="N15" s="16" t="str">
        <f t="shared" ca="1" si="4"/>
        <v/>
      </c>
    </row>
    <row r="16" spans="1:18" x14ac:dyDescent="0.25">
      <c r="A16" s="2"/>
      <c r="B16" s="9">
        <v>8</v>
      </c>
      <c r="C16" t="s">
        <v>37</v>
      </c>
      <c r="D16" s="5" t="str">
        <f>_xlfn.XLOOKUP($C16,DATA!$A:$A,DATA!$B:$B,"",0,1)</f>
        <v>Digital Input 32 Channels</v>
      </c>
      <c r="E16" s="5" t="str">
        <f>_xlfn.XLOOKUP($C16,DATA!$A:$A,DATA!C:C,"",0,1)</f>
        <v>DI</v>
      </c>
      <c r="F16" s="5">
        <f>_xlfn.XLOOKUP($C16,DATA!$A:$A,DATA!D:D,"",0,1)</f>
        <v>32</v>
      </c>
      <c r="G16" s="6" t="str">
        <f t="shared" si="3"/>
        <v>008</v>
      </c>
      <c r="I16" s="5" t="str">
        <f t="shared" si="5"/>
        <v>008_DI</v>
      </c>
      <c r="K16" s="26" t="str">
        <f t="shared" ca="1" si="4"/>
        <v/>
      </c>
      <c r="L16" s="5" t="str">
        <f t="shared" ca="1" si="4"/>
        <v/>
      </c>
      <c r="M16" s="25">
        <f t="shared" ca="1" si="4"/>
        <v>33</v>
      </c>
      <c r="N16" s="16" t="str">
        <f t="shared" ca="1" si="4"/>
        <v/>
      </c>
    </row>
    <row r="17" spans="1:14" x14ac:dyDescent="0.25">
      <c r="A17" s="2"/>
      <c r="B17" s="9">
        <v>9</v>
      </c>
      <c r="C17" t="s">
        <v>38</v>
      </c>
      <c r="D17" s="5" t="str">
        <f>_xlfn.XLOOKUP($C17,DATA!$A:$A,DATA!$B:$B,"",0,1)</f>
        <v>Spare Slot</v>
      </c>
      <c r="E17" s="5" t="str">
        <f>_xlfn.XLOOKUP($C17,DATA!$A:$A,DATA!C:C,"",0,1)</f>
        <v>SPR</v>
      </c>
      <c r="F17" s="5">
        <f>_xlfn.XLOOKUP($C17,DATA!$A:$A,DATA!D:D,"",0,1)</f>
        <v>0</v>
      </c>
      <c r="G17" s="6" t="str">
        <f t="shared" si="3"/>
        <v>009</v>
      </c>
      <c r="I17" s="5" t="str">
        <f t="shared" si="5"/>
        <v/>
      </c>
      <c r="K17" s="26" t="str">
        <f t="shared" ca="1" si="4"/>
        <v/>
      </c>
      <c r="L17" s="5" t="str">
        <f t="shared" ca="1" si="4"/>
        <v/>
      </c>
      <c r="M17" s="25" t="str">
        <f t="shared" ca="1" si="4"/>
        <v/>
      </c>
      <c r="N17" s="16" t="str">
        <f t="shared" ca="1" si="4"/>
        <v/>
      </c>
    </row>
    <row r="18" spans="1:14" x14ac:dyDescent="0.25">
      <c r="A18" s="2"/>
      <c r="B18" s="9">
        <v>10</v>
      </c>
      <c r="C18" t="s">
        <v>38</v>
      </c>
      <c r="D18" s="5" t="str">
        <f>_xlfn.XLOOKUP($C18,DATA!$A:$A,DATA!$B:$B,"",0,1)</f>
        <v>Spare Slot</v>
      </c>
      <c r="E18" s="5" t="str">
        <f>_xlfn.XLOOKUP($C18,DATA!$A:$A,DATA!C:C,"",0,1)</f>
        <v>SPR</v>
      </c>
      <c r="F18" s="5">
        <f>_xlfn.XLOOKUP($C18,DATA!$A:$A,DATA!D:D,"",0,1)</f>
        <v>0</v>
      </c>
      <c r="G18" s="6" t="str">
        <f t="shared" si="3"/>
        <v>010</v>
      </c>
      <c r="I18" s="5" t="str">
        <f t="shared" si="5"/>
        <v/>
      </c>
      <c r="K18" s="26" t="str">
        <f t="shared" ca="1" si="4"/>
        <v/>
      </c>
      <c r="L18" s="5" t="str">
        <f t="shared" ca="1" si="4"/>
        <v/>
      </c>
      <c r="M18" s="25" t="str">
        <f t="shared" ca="1" si="4"/>
        <v/>
      </c>
      <c r="N18" s="16" t="str">
        <f t="shared" ca="1" si="4"/>
        <v/>
      </c>
    </row>
    <row r="19" spans="1:14" x14ac:dyDescent="0.25">
      <c r="A19" s="2"/>
      <c r="B19" s="9">
        <v>11</v>
      </c>
      <c r="C19" t="s">
        <v>38</v>
      </c>
      <c r="D19" s="5" t="str">
        <f>_xlfn.XLOOKUP($C19,DATA!$A:$A,DATA!$B:$B,"",0,1)</f>
        <v>Spare Slot</v>
      </c>
      <c r="E19" s="5" t="str">
        <f>_xlfn.XLOOKUP($C19,DATA!$A:$A,DATA!C:C,"",0,1)</f>
        <v>SPR</v>
      </c>
      <c r="F19" s="5">
        <f>_xlfn.XLOOKUP($C19,DATA!$A:$A,DATA!D:D,"",0,1)</f>
        <v>0</v>
      </c>
      <c r="G19" s="6" t="str">
        <f t="shared" si="3"/>
        <v>011</v>
      </c>
      <c r="I19" s="5" t="str">
        <f t="shared" si="5"/>
        <v/>
      </c>
      <c r="K19" s="26" t="str">
        <f t="shared" ca="1" si="4"/>
        <v/>
      </c>
      <c r="L19" s="5" t="str">
        <f t="shared" ca="1" si="4"/>
        <v/>
      </c>
      <c r="M19" s="25" t="str">
        <f t="shared" ca="1" si="4"/>
        <v/>
      </c>
      <c r="N19" s="16" t="str">
        <f t="shared" ca="1" si="4"/>
        <v/>
      </c>
    </row>
    <row r="20" spans="1:14" x14ac:dyDescent="0.25">
      <c r="A20" s="2"/>
      <c r="B20" s="9">
        <v>12</v>
      </c>
      <c r="C20" t="s">
        <v>38</v>
      </c>
      <c r="D20" s="5" t="str">
        <f>_xlfn.XLOOKUP($C20,DATA!$A:$A,DATA!$B:$B,"",0,1)</f>
        <v>Spare Slot</v>
      </c>
      <c r="E20" s="5" t="str">
        <f>_xlfn.XLOOKUP($C20,DATA!$A:$A,DATA!C:C,"",0,1)</f>
        <v>SPR</v>
      </c>
      <c r="F20" s="5">
        <f>_xlfn.XLOOKUP($C20,DATA!$A:$A,DATA!D:D,"",0,1)</f>
        <v>0</v>
      </c>
      <c r="G20" s="6" t="str">
        <f t="shared" si="3"/>
        <v>012</v>
      </c>
      <c r="I20" s="5" t="str">
        <f t="shared" si="5"/>
        <v/>
      </c>
      <c r="K20" s="26" t="str">
        <f t="shared" ca="1" si="4"/>
        <v/>
      </c>
      <c r="L20" s="5" t="str">
        <f t="shared" ca="1" si="4"/>
        <v/>
      </c>
      <c r="M20" s="25" t="str">
        <f t="shared" ca="1" si="4"/>
        <v/>
      </c>
      <c r="N20" s="16" t="str">
        <f t="shared" ca="1" si="4"/>
        <v/>
      </c>
    </row>
    <row r="21" spans="1:14" x14ac:dyDescent="0.25">
      <c r="A21" s="2"/>
      <c r="B21" s="9">
        <v>13</v>
      </c>
      <c r="C21" t="s">
        <v>39</v>
      </c>
      <c r="D21" s="5" t="str">
        <f>_xlfn.XLOOKUP($C21,DATA!$A:$A,DATA!$B:$B,"",0,1)</f>
        <v>Digital Output 24 Channels</v>
      </c>
      <c r="E21" s="5" t="str">
        <f>_xlfn.XLOOKUP($C21,DATA!$A:$A,DATA!C:C,"",0,1)</f>
        <v>DO</v>
      </c>
      <c r="F21" s="5">
        <f>_xlfn.XLOOKUP($C21,DATA!$A:$A,DATA!D:D,"",0,1)</f>
        <v>24</v>
      </c>
      <c r="G21" s="6" t="str">
        <f t="shared" si="3"/>
        <v>013</v>
      </c>
      <c r="I21" s="5" t="str">
        <f t="shared" si="5"/>
        <v>013_DO</v>
      </c>
      <c r="K21" s="26" t="str">
        <f t="shared" ca="1" si="4"/>
        <v/>
      </c>
      <c r="L21" s="5" t="str">
        <f t="shared" ca="1" si="4"/>
        <v/>
      </c>
      <c r="M21" s="25" t="str">
        <f t="shared" ca="1" si="4"/>
        <v/>
      </c>
      <c r="N21" s="16">
        <f t="shared" ca="1" si="4"/>
        <v>24</v>
      </c>
    </row>
    <row r="22" spans="1:14" x14ac:dyDescent="0.25">
      <c r="A22" s="2"/>
      <c r="B22" s="9">
        <v>14</v>
      </c>
      <c r="C22" t="s">
        <v>39</v>
      </c>
      <c r="D22" s="5" t="str">
        <f>_xlfn.XLOOKUP($C22,DATA!$A:$A,DATA!$B:$B,"",0,1)</f>
        <v>Digital Output 24 Channels</v>
      </c>
      <c r="E22" s="5" t="str">
        <f>_xlfn.XLOOKUP($C22,DATA!$A:$A,DATA!C:C,"",0,1)</f>
        <v>DO</v>
      </c>
      <c r="F22" s="5">
        <f>_xlfn.XLOOKUP($C22,DATA!$A:$A,DATA!D:D,"",0,1)</f>
        <v>24</v>
      </c>
      <c r="G22" s="6" t="str">
        <f t="shared" si="3"/>
        <v>014</v>
      </c>
      <c r="I22" s="5" t="str">
        <f t="shared" si="5"/>
        <v>014_DO</v>
      </c>
      <c r="K22" s="26" t="str">
        <f t="shared" ca="1" si="4"/>
        <v/>
      </c>
      <c r="L22" s="5" t="str">
        <f t="shared" ca="1" si="4"/>
        <v/>
      </c>
      <c r="M22" s="25" t="str">
        <f t="shared" ca="1" si="4"/>
        <v/>
      </c>
      <c r="N22" s="16">
        <f t="shared" ca="1" si="4"/>
        <v>24</v>
      </c>
    </row>
    <row r="23" spans="1:14" x14ac:dyDescent="0.25">
      <c r="A23" s="2"/>
      <c r="B23" s="9">
        <v>15</v>
      </c>
      <c r="C23" t="s">
        <v>39</v>
      </c>
      <c r="D23" s="5" t="str">
        <f>_xlfn.XLOOKUP($C23,DATA!$A:$A,DATA!$B:$B,"",0,1)</f>
        <v>Digital Output 24 Channels</v>
      </c>
      <c r="E23" s="5" t="str">
        <f>_xlfn.XLOOKUP($C23,DATA!$A:$A,DATA!C:C,"",0,1)</f>
        <v>DO</v>
      </c>
      <c r="F23" s="5">
        <f>_xlfn.XLOOKUP($C23,DATA!$A:$A,DATA!D:D,"",0,1)</f>
        <v>24</v>
      </c>
      <c r="G23" s="6" t="str">
        <f t="shared" si="3"/>
        <v>015</v>
      </c>
      <c r="I23" s="5" t="str">
        <f t="shared" si="5"/>
        <v>015_DO</v>
      </c>
      <c r="K23" s="26" t="str">
        <f t="shared" ca="1" si="4"/>
        <v/>
      </c>
      <c r="L23" s="5" t="str">
        <f t="shared" ca="1" si="4"/>
        <v/>
      </c>
      <c r="M23" s="25" t="str">
        <f t="shared" ca="1" si="4"/>
        <v/>
      </c>
      <c r="N23" s="16">
        <f t="shared" ca="1" si="4"/>
        <v>24</v>
      </c>
    </row>
    <row r="24" spans="1:14" x14ac:dyDescent="0.25">
      <c r="A24" s="2"/>
      <c r="B24" s="9">
        <v>16</v>
      </c>
      <c r="C24" t="s">
        <v>39</v>
      </c>
      <c r="D24" s="5" t="str">
        <f>_xlfn.XLOOKUP($C24,DATA!$A:$A,DATA!$B:$B,"",0,1)</f>
        <v>Digital Output 24 Channels</v>
      </c>
      <c r="E24" s="5" t="str">
        <f>_xlfn.XLOOKUP($C24,DATA!$A:$A,DATA!C:C,"",0,1)</f>
        <v>DO</v>
      </c>
      <c r="F24" s="5">
        <f>_xlfn.XLOOKUP($C24,DATA!$A:$A,DATA!D:D,"",0,1)</f>
        <v>24</v>
      </c>
      <c r="G24" s="6" t="str">
        <f t="shared" si="3"/>
        <v>016</v>
      </c>
      <c r="I24" s="5" t="str">
        <f t="shared" si="5"/>
        <v>016_DO</v>
      </c>
      <c r="K24" s="26" t="str">
        <f t="shared" ca="1" si="4"/>
        <v/>
      </c>
      <c r="L24" s="5" t="str">
        <f t="shared" ca="1" si="4"/>
        <v/>
      </c>
      <c r="M24" s="25" t="str">
        <f t="shared" ca="1" si="4"/>
        <v/>
      </c>
      <c r="N24" s="16">
        <f t="shared" ca="1" si="4"/>
        <v>24</v>
      </c>
    </row>
    <row r="25" spans="1:14" x14ac:dyDescent="0.25">
      <c r="A25" s="2"/>
      <c r="B25" s="9">
        <v>17</v>
      </c>
      <c r="C25" t="s">
        <v>38</v>
      </c>
      <c r="D25" s="5" t="str">
        <f>_xlfn.XLOOKUP($C25,DATA!$A:$A,DATA!$B:$B,"",0,1)</f>
        <v>Spare Slot</v>
      </c>
      <c r="E25" s="5" t="str">
        <f>_xlfn.XLOOKUP($C25,DATA!$A:$A,DATA!C:C,"",0,1)</f>
        <v>SPR</v>
      </c>
      <c r="F25" s="5">
        <f>_xlfn.XLOOKUP($C25,DATA!$A:$A,DATA!D:D,"",0,1)</f>
        <v>0</v>
      </c>
      <c r="G25" s="6" t="str">
        <f t="shared" si="3"/>
        <v>017</v>
      </c>
      <c r="I25" s="5" t="str">
        <f t="shared" si="5"/>
        <v/>
      </c>
      <c r="K25" s="26" t="str">
        <f t="shared" ca="1" si="4"/>
        <v/>
      </c>
      <c r="L25" s="5" t="str">
        <f t="shared" ca="1" si="4"/>
        <v/>
      </c>
      <c r="M25" s="25" t="str">
        <f t="shared" ca="1" si="4"/>
        <v/>
      </c>
      <c r="N25" s="16" t="str">
        <f t="shared" ca="1" si="4"/>
        <v/>
      </c>
    </row>
    <row r="26" spans="1:14" ht="15.75" thickBot="1" x14ac:dyDescent="0.3">
      <c r="A26" s="3"/>
      <c r="B26" s="10">
        <v>18</v>
      </c>
      <c r="C26" s="4" t="s">
        <v>38</v>
      </c>
      <c r="D26" s="7" t="str">
        <f>_xlfn.XLOOKUP($C26,DATA!$A:$A,DATA!$B:$B,"",0,1)</f>
        <v>Spare Slot</v>
      </c>
      <c r="E26" s="7" t="str">
        <f>_xlfn.XLOOKUP($C26,DATA!$A:$A,DATA!C:C,"",0,1)</f>
        <v>SPR</v>
      </c>
      <c r="F26" s="7">
        <f>_xlfn.XLOOKUP($C26,DATA!$A:$A,DATA!D:D,"",0,1)</f>
        <v>0</v>
      </c>
      <c r="G26" s="8" t="str">
        <f t="shared" si="3"/>
        <v>018</v>
      </c>
      <c r="I26" s="5" t="str">
        <f t="shared" si="5"/>
        <v/>
      </c>
      <c r="K26" s="26" t="str">
        <f t="shared" ca="1" si="4"/>
        <v/>
      </c>
      <c r="L26" s="5" t="str">
        <f t="shared" ca="1" si="4"/>
        <v/>
      </c>
      <c r="M26" s="25" t="str">
        <f t="shared" ca="1" si="4"/>
        <v/>
      </c>
      <c r="N26" s="16" t="str">
        <f t="shared" ca="1" si="4"/>
        <v/>
      </c>
    </row>
    <row r="27" spans="1:14" x14ac:dyDescent="0.25">
      <c r="A27" s="18" t="s">
        <v>27</v>
      </c>
      <c r="B27" s="32">
        <v>1</v>
      </c>
      <c r="C27" s="19"/>
      <c r="D27" s="19"/>
      <c r="E27" s="19"/>
      <c r="F27" s="19"/>
      <c r="G27" s="24"/>
      <c r="H27" s="25"/>
      <c r="I27" s="25"/>
      <c r="J27" s="25"/>
      <c r="K27" s="26" t="str">
        <f t="shared" ca="1" si="4"/>
        <v/>
      </c>
      <c r="L27" s="25" t="str">
        <f t="shared" ca="1" si="4"/>
        <v/>
      </c>
      <c r="M27" s="25" t="str">
        <f t="shared" ca="1" si="4"/>
        <v/>
      </c>
      <c r="N27" s="27" t="str">
        <f t="shared" ca="1" si="4"/>
        <v/>
      </c>
    </row>
    <row r="28" spans="1:14" x14ac:dyDescent="0.25">
      <c r="A28" s="21"/>
      <c r="B28" s="22" t="s">
        <v>28</v>
      </c>
      <c r="C28" s="22" t="s">
        <v>29</v>
      </c>
      <c r="D28" s="22" t="s">
        <v>7</v>
      </c>
      <c r="E28" s="22" t="s">
        <v>30</v>
      </c>
      <c r="F28" s="22" t="s">
        <v>31</v>
      </c>
      <c r="G28" s="23" t="s">
        <v>32</v>
      </c>
      <c r="H28" s="25"/>
      <c r="I28" s="25"/>
      <c r="J28" s="25"/>
      <c r="K28" s="26" t="str">
        <f t="shared" ca="1" si="4"/>
        <v/>
      </c>
      <c r="L28" s="25" t="str">
        <f t="shared" ca="1" si="4"/>
        <v/>
      </c>
      <c r="M28" s="25" t="str">
        <f t="shared" ca="1" si="4"/>
        <v/>
      </c>
      <c r="N28" s="27" t="str">
        <f t="shared" ca="1" si="4"/>
        <v/>
      </c>
    </row>
    <row r="29" spans="1:14" x14ac:dyDescent="0.25">
      <c r="A29" s="2"/>
      <c r="B29" s="9">
        <v>1</v>
      </c>
      <c r="D29" s="5">
        <f>_xlfn.XLOOKUP($C29,DATA!$A:$A,DATA!$B:$B,"",0,1)</f>
        <v>0</v>
      </c>
      <c r="E29" s="5">
        <f>_xlfn.XLOOKUP($C29,DATA!$A:$A,DATA!C:C,"",0,1)</f>
        <v>0</v>
      </c>
      <c r="F29" s="5">
        <f>_xlfn.XLOOKUP($C29,DATA!$A:$A,DATA!D:D,"",0,1)</f>
        <v>0</v>
      </c>
      <c r="G29" s="6" t="str">
        <f t="shared" ref="G29:G46" si="6">$B$27&amp;TEXT(B29,"00")</f>
        <v>101</v>
      </c>
      <c r="I29" s="5" t="str">
        <f t="shared" ref="I29:I46" si="7">IF(F29=0,"",$G29&amp;"_"&amp;$E29)</f>
        <v/>
      </c>
      <c r="K29" s="26" t="str">
        <f t="shared" ref="K29:N46" ca="1" si="8">IF(RIGHT($I29,2)=K$1,COUNTA(INDIRECT("'"&amp;$I29&amp;"'!B2:B65")),"")</f>
        <v/>
      </c>
      <c r="L29" s="5" t="str">
        <f t="shared" ca="1" si="8"/>
        <v/>
      </c>
      <c r="M29" s="25" t="str">
        <f t="shared" ca="1" si="8"/>
        <v/>
      </c>
      <c r="N29" s="16" t="str">
        <f t="shared" ca="1" si="8"/>
        <v/>
      </c>
    </row>
    <row r="30" spans="1:14" x14ac:dyDescent="0.25">
      <c r="A30" s="2"/>
      <c r="B30" s="9">
        <v>2</v>
      </c>
      <c r="D30" s="5">
        <f>_xlfn.XLOOKUP($C30,DATA!$A:$A,DATA!$B:$B,"",0,1)</f>
        <v>0</v>
      </c>
      <c r="E30" s="5">
        <f>_xlfn.XLOOKUP($C30,DATA!$A:$A,DATA!C:C,"",0,1)</f>
        <v>0</v>
      </c>
      <c r="F30" s="5">
        <f>_xlfn.XLOOKUP($C30,DATA!$A:$A,DATA!D:D,"",0,1)</f>
        <v>0</v>
      </c>
      <c r="G30" s="6" t="str">
        <f t="shared" si="6"/>
        <v>102</v>
      </c>
      <c r="I30" s="5" t="str">
        <f t="shared" si="7"/>
        <v/>
      </c>
      <c r="K30" s="26" t="str">
        <f t="shared" ca="1" si="8"/>
        <v/>
      </c>
      <c r="L30" s="5" t="str">
        <f t="shared" ca="1" si="8"/>
        <v/>
      </c>
      <c r="M30" s="25" t="str">
        <f t="shared" ca="1" si="8"/>
        <v/>
      </c>
      <c r="N30" s="16" t="str">
        <f t="shared" ca="1" si="8"/>
        <v/>
      </c>
    </row>
    <row r="31" spans="1:14" x14ac:dyDescent="0.25">
      <c r="A31" s="2"/>
      <c r="B31" s="9">
        <v>3</v>
      </c>
      <c r="D31" s="5">
        <f>_xlfn.XLOOKUP($C31,DATA!$A:$A,DATA!$B:$B,"",0,1)</f>
        <v>0</v>
      </c>
      <c r="E31" s="5">
        <f>_xlfn.XLOOKUP($C31,DATA!$A:$A,DATA!C:C,"",0,1)</f>
        <v>0</v>
      </c>
      <c r="F31" s="5">
        <f>_xlfn.XLOOKUP($C31,DATA!$A:$A,DATA!D:D,"",0,1)</f>
        <v>0</v>
      </c>
      <c r="G31" s="6" t="str">
        <f t="shared" si="6"/>
        <v>103</v>
      </c>
      <c r="I31" s="5" t="str">
        <f t="shared" si="7"/>
        <v/>
      </c>
      <c r="K31" s="26" t="str">
        <f t="shared" ca="1" si="8"/>
        <v/>
      </c>
      <c r="L31" s="5" t="str">
        <f t="shared" ca="1" si="8"/>
        <v/>
      </c>
      <c r="M31" s="25" t="str">
        <f t="shared" ca="1" si="8"/>
        <v/>
      </c>
      <c r="N31" s="16" t="str">
        <f t="shared" ca="1" si="8"/>
        <v/>
      </c>
    </row>
    <row r="32" spans="1:14" x14ac:dyDescent="0.25">
      <c r="A32" s="2"/>
      <c r="B32" s="9">
        <v>4</v>
      </c>
      <c r="D32" s="5">
        <f>_xlfn.XLOOKUP($C32,DATA!$A:$A,DATA!$B:$B,"",0,1)</f>
        <v>0</v>
      </c>
      <c r="E32" s="5">
        <f>_xlfn.XLOOKUP($C32,DATA!$A:$A,DATA!C:C,"",0,1)</f>
        <v>0</v>
      </c>
      <c r="F32" s="5">
        <f>_xlfn.XLOOKUP($C32,DATA!$A:$A,DATA!D:D,"",0,1)</f>
        <v>0</v>
      </c>
      <c r="G32" s="6" t="str">
        <f t="shared" si="6"/>
        <v>104</v>
      </c>
      <c r="I32" s="5" t="str">
        <f t="shared" si="7"/>
        <v/>
      </c>
      <c r="K32" s="26" t="str">
        <f t="shared" ca="1" si="8"/>
        <v/>
      </c>
      <c r="L32" s="5" t="str">
        <f t="shared" ca="1" si="8"/>
        <v/>
      </c>
      <c r="M32" s="25" t="str">
        <f t="shared" ca="1" si="8"/>
        <v/>
      </c>
      <c r="N32" s="16" t="str">
        <f t="shared" ca="1" si="8"/>
        <v/>
      </c>
    </row>
    <row r="33" spans="1:14" x14ac:dyDescent="0.25">
      <c r="A33" s="2"/>
      <c r="B33" s="9">
        <v>5</v>
      </c>
      <c r="D33" s="5">
        <f>_xlfn.XLOOKUP($C33,DATA!$A:$A,DATA!$B:$B,"",0,1)</f>
        <v>0</v>
      </c>
      <c r="E33" s="5">
        <f>_xlfn.XLOOKUP($C33,DATA!$A:$A,DATA!C:C,"",0,1)</f>
        <v>0</v>
      </c>
      <c r="F33" s="5">
        <f>_xlfn.XLOOKUP($C33,DATA!$A:$A,DATA!D:D,"",0,1)</f>
        <v>0</v>
      </c>
      <c r="G33" s="6" t="str">
        <f t="shared" si="6"/>
        <v>105</v>
      </c>
      <c r="I33" s="5" t="str">
        <f t="shared" si="7"/>
        <v/>
      </c>
      <c r="K33" s="26" t="str">
        <f t="shared" ca="1" si="8"/>
        <v/>
      </c>
      <c r="L33" s="5" t="str">
        <f t="shared" ca="1" si="8"/>
        <v/>
      </c>
      <c r="M33" s="25" t="str">
        <f t="shared" ca="1" si="8"/>
        <v/>
      </c>
      <c r="N33" s="16" t="str">
        <f t="shared" ca="1" si="8"/>
        <v/>
      </c>
    </row>
    <row r="34" spans="1:14" x14ac:dyDescent="0.25">
      <c r="A34" s="2"/>
      <c r="B34" s="9">
        <v>6</v>
      </c>
      <c r="D34" s="5">
        <f>_xlfn.XLOOKUP($C34,DATA!$A:$A,DATA!$B:$B,"",0,1)</f>
        <v>0</v>
      </c>
      <c r="E34" s="5">
        <f>_xlfn.XLOOKUP($C34,DATA!$A:$A,DATA!C:C,"",0,1)</f>
        <v>0</v>
      </c>
      <c r="F34" s="5">
        <f>_xlfn.XLOOKUP($C34,DATA!$A:$A,DATA!D:D,"",0,1)</f>
        <v>0</v>
      </c>
      <c r="G34" s="6" t="str">
        <f t="shared" si="6"/>
        <v>106</v>
      </c>
      <c r="I34" s="5" t="str">
        <f t="shared" si="7"/>
        <v/>
      </c>
      <c r="K34" s="26" t="str">
        <f t="shared" ca="1" si="8"/>
        <v/>
      </c>
      <c r="L34" s="5" t="str">
        <f t="shared" ca="1" si="8"/>
        <v/>
      </c>
      <c r="M34" s="25" t="str">
        <f t="shared" ca="1" si="8"/>
        <v/>
      </c>
      <c r="N34" s="16" t="str">
        <f t="shared" ca="1" si="8"/>
        <v/>
      </c>
    </row>
    <row r="35" spans="1:14" x14ac:dyDescent="0.25">
      <c r="A35" s="2"/>
      <c r="B35" s="9">
        <v>7</v>
      </c>
      <c r="D35" s="5">
        <f>_xlfn.XLOOKUP($C35,DATA!$A:$A,DATA!$B:$B,"",0,1)</f>
        <v>0</v>
      </c>
      <c r="E35" s="5">
        <f>_xlfn.XLOOKUP($C35,DATA!$A:$A,DATA!C:C,"",0,1)</f>
        <v>0</v>
      </c>
      <c r="F35" s="5">
        <f>_xlfn.XLOOKUP($C35,DATA!$A:$A,DATA!D:D,"",0,1)</f>
        <v>0</v>
      </c>
      <c r="G35" s="6" t="str">
        <f t="shared" si="6"/>
        <v>107</v>
      </c>
      <c r="I35" s="5" t="str">
        <f t="shared" si="7"/>
        <v/>
      </c>
      <c r="K35" s="26" t="str">
        <f t="shared" ca="1" si="8"/>
        <v/>
      </c>
      <c r="L35" s="5" t="str">
        <f t="shared" ca="1" si="8"/>
        <v/>
      </c>
      <c r="M35" s="25" t="str">
        <f t="shared" ca="1" si="8"/>
        <v/>
      </c>
      <c r="N35" s="16" t="str">
        <f t="shared" ca="1" si="8"/>
        <v/>
      </c>
    </row>
    <row r="36" spans="1:14" x14ac:dyDescent="0.25">
      <c r="A36" s="2"/>
      <c r="B36" s="9">
        <v>8</v>
      </c>
      <c r="D36" s="5">
        <f>_xlfn.XLOOKUP($C36,DATA!$A:$A,DATA!$B:$B,"",0,1)</f>
        <v>0</v>
      </c>
      <c r="E36" s="5">
        <f>_xlfn.XLOOKUP($C36,DATA!$A:$A,DATA!C:C,"",0,1)</f>
        <v>0</v>
      </c>
      <c r="F36" s="5">
        <f>_xlfn.XLOOKUP($C36,DATA!$A:$A,DATA!D:D,"",0,1)</f>
        <v>0</v>
      </c>
      <c r="G36" s="6" t="str">
        <f t="shared" si="6"/>
        <v>108</v>
      </c>
      <c r="I36" s="5" t="str">
        <f t="shared" si="7"/>
        <v/>
      </c>
      <c r="K36" s="26" t="str">
        <f t="shared" ca="1" si="8"/>
        <v/>
      </c>
      <c r="L36" s="5" t="str">
        <f t="shared" ca="1" si="8"/>
        <v/>
      </c>
      <c r="M36" s="25" t="str">
        <f t="shared" ca="1" si="8"/>
        <v/>
      </c>
      <c r="N36" s="16" t="str">
        <f t="shared" ca="1" si="8"/>
        <v/>
      </c>
    </row>
    <row r="37" spans="1:14" x14ac:dyDescent="0.25">
      <c r="A37" s="2"/>
      <c r="B37" s="9">
        <v>9</v>
      </c>
      <c r="D37" s="5">
        <f>_xlfn.XLOOKUP($C37,DATA!$A:$A,DATA!$B:$B,"",0,1)</f>
        <v>0</v>
      </c>
      <c r="E37" s="5">
        <f>_xlfn.XLOOKUP($C37,DATA!$A:$A,DATA!C:C,"",0,1)</f>
        <v>0</v>
      </c>
      <c r="F37" s="5">
        <f>_xlfn.XLOOKUP($C37,DATA!$A:$A,DATA!D:D,"",0,1)</f>
        <v>0</v>
      </c>
      <c r="G37" s="6" t="str">
        <f t="shared" si="6"/>
        <v>109</v>
      </c>
      <c r="I37" s="5" t="str">
        <f t="shared" si="7"/>
        <v/>
      </c>
      <c r="K37" s="26" t="str">
        <f t="shared" ca="1" si="8"/>
        <v/>
      </c>
      <c r="L37" s="5" t="str">
        <f t="shared" ca="1" si="8"/>
        <v/>
      </c>
      <c r="M37" s="25" t="str">
        <f t="shared" ca="1" si="8"/>
        <v/>
      </c>
      <c r="N37" s="16" t="str">
        <f t="shared" ca="1" si="8"/>
        <v/>
      </c>
    </row>
    <row r="38" spans="1:14" x14ac:dyDescent="0.25">
      <c r="A38" s="2"/>
      <c r="B38" s="9">
        <v>10</v>
      </c>
      <c r="D38" s="5">
        <f>_xlfn.XLOOKUP($C38,DATA!$A:$A,DATA!$B:$B,"",0,1)</f>
        <v>0</v>
      </c>
      <c r="E38" s="5">
        <f>_xlfn.XLOOKUP($C38,DATA!$A:$A,DATA!C:C,"",0,1)</f>
        <v>0</v>
      </c>
      <c r="F38" s="5">
        <f>_xlfn.XLOOKUP($C38,DATA!$A:$A,DATA!D:D,"",0,1)</f>
        <v>0</v>
      </c>
      <c r="G38" s="6" t="str">
        <f t="shared" si="6"/>
        <v>110</v>
      </c>
      <c r="I38" s="5" t="str">
        <f t="shared" si="7"/>
        <v/>
      </c>
      <c r="K38" s="26" t="str">
        <f t="shared" ca="1" si="8"/>
        <v/>
      </c>
      <c r="L38" s="5" t="str">
        <f t="shared" ca="1" si="8"/>
        <v/>
      </c>
      <c r="M38" s="25" t="str">
        <f t="shared" ca="1" si="8"/>
        <v/>
      </c>
      <c r="N38" s="16" t="str">
        <f t="shared" ca="1" si="8"/>
        <v/>
      </c>
    </row>
    <row r="39" spans="1:14" x14ac:dyDescent="0.25">
      <c r="A39" s="2"/>
      <c r="B39" s="9">
        <v>11</v>
      </c>
      <c r="D39" s="5">
        <f>_xlfn.XLOOKUP($C39,DATA!$A:$A,DATA!$B:$B,"",0,1)</f>
        <v>0</v>
      </c>
      <c r="E39" s="5">
        <f>_xlfn.XLOOKUP($C39,DATA!$A:$A,DATA!C:C,"",0,1)</f>
        <v>0</v>
      </c>
      <c r="F39" s="5">
        <f>_xlfn.XLOOKUP($C39,DATA!$A:$A,DATA!D:D,"",0,1)</f>
        <v>0</v>
      </c>
      <c r="G39" s="6" t="str">
        <f t="shared" si="6"/>
        <v>111</v>
      </c>
      <c r="I39" s="5" t="str">
        <f t="shared" si="7"/>
        <v/>
      </c>
      <c r="K39" s="26" t="str">
        <f t="shared" ca="1" si="8"/>
        <v/>
      </c>
      <c r="L39" s="5" t="str">
        <f t="shared" ca="1" si="8"/>
        <v/>
      </c>
      <c r="M39" s="25" t="str">
        <f t="shared" ca="1" si="8"/>
        <v/>
      </c>
      <c r="N39" s="16" t="str">
        <f t="shared" ca="1" si="8"/>
        <v/>
      </c>
    </row>
    <row r="40" spans="1:14" x14ac:dyDescent="0.25">
      <c r="A40" s="2"/>
      <c r="B40" s="9">
        <v>12</v>
      </c>
      <c r="D40" s="5">
        <f>_xlfn.XLOOKUP($C40,DATA!$A:$A,DATA!$B:$B,"",0,1)</f>
        <v>0</v>
      </c>
      <c r="E40" s="5">
        <f>_xlfn.XLOOKUP($C40,DATA!$A:$A,DATA!C:C,"",0,1)</f>
        <v>0</v>
      </c>
      <c r="F40" s="5">
        <f>_xlfn.XLOOKUP($C40,DATA!$A:$A,DATA!D:D,"",0,1)</f>
        <v>0</v>
      </c>
      <c r="G40" s="6" t="str">
        <f t="shared" si="6"/>
        <v>112</v>
      </c>
      <c r="I40" s="5" t="str">
        <f t="shared" si="7"/>
        <v/>
      </c>
      <c r="K40" s="26" t="str">
        <f t="shared" ca="1" si="8"/>
        <v/>
      </c>
      <c r="L40" s="5" t="str">
        <f t="shared" ca="1" si="8"/>
        <v/>
      </c>
      <c r="M40" s="25" t="str">
        <f t="shared" ca="1" si="8"/>
        <v/>
      </c>
      <c r="N40" s="16" t="str">
        <f t="shared" ca="1" si="8"/>
        <v/>
      </c>
    </row>
    <row r="41" spans="1:14" x14ac:dyDescent="0.25">
      <c r="A41" s="2"/>
      <c r="B41" s="9">
        <v>13</v>
      </c>
      <c r="D41" s="5">
        <f>_xlfn.XLOOKUP($C41,DATA!$A:$A,DATA!$B:$B,"",0,1)</f>
        <v>0</v>
      </c>
      <c r="E41" s="5">
        <f>_xlfn.XLOOKUP($C41,DATA!$A:$A,DATA!C:C,"",0,1)</f>
        <v>0</v>
      </c>
      <c r="F41" s="5">
        <f>_xlfn.XLOOKUP($C41,DATA!$A:$A,DATA!D:D,"",0,1)</f>
        <v>0</v>
      </c>
      <c r="G41" s="6" t="str">
        <f t="shared" si="6"/>
        <v>113</v>
      </c>
      <c r="I41" s="5" t="str">
        <f t="shared" si="7"/>
        <v/>
      </c>
      <c r="K41" s="26" t="str">
        <f t="shared" ca="1" si="8"/>
        <v/>
      </c>
      <c r="L41" s="5" t="str">
        <f t="shared" ca="1" si="8"/>
        <v/>
      </c>
      <c r="M41" s="25" t="str">
        <f t="shared" ca="1" si="8"/>
        <v/>
      </c>
      <c r="N41" s="16" t="str">
        <f t="shared" ca="1" si="8"/>
        <v/>
      </c>
    </row>
    <row r="42" spans="1:14" x14ac:dyDescent="0.25">
      <c r="A42" s="2"/>
      <c r="B42" s="9">
        <v>14</v>
      </c>
      <c r="D42" s="5">
        <f>_xlfn.XLOOKUP($C42,DATA!$A:$A,DATA!$B:$B,"",0,1)</f>
        <v>0</v>
      </c>
      <c r="E42" s="5">
        <f>_xlfn.XLOOKUP($C42,DATA!$A:$A,DATA!C:C,"",0,1)</f>
        <v>0</v>
      </c>
      <c r="F42" s="5">
        <f>_xlfn.XLOOKUP($C42,DATA!$A:$A,DATA!D:D,"",0,1)</f>
        <v>0</v>
      </c>
      <c r="G42" s="6" t="str">
        <f t="shared" si="6"/>
        <v>114</v>
      </c>
      <c r="I42" s="5" t="str">
        <f t="shared" si="7"/>
        <v/>
      </c>
      <c r="K42" s="26" t="str">
        <f t="shared" ca="1" si="8"/>
        <v/>
      </c>
      <c r="L42" s="5" t="str">
        <f t="shared" ca="1" si="8"/>
        <v/>
      </c>
      <c r="M42" s="25" t="str">
        <f t="shared" ca="1" si="8"/>
        <v/>
      </c>
      <c r="N42" s="16" t="str">
        <f t="shared" ca="1" si="8"/>
        <v/>
      </c>
    </row>
    <row r="43" spans="1:14" x14ac:dyDescent="0.25">
      <c r="A43" s="2"/>
      <c r="B43" s="9">
        <v>15</v>
      </c>
      <c r="D43" s="5">
        <f>_xlfn.XLOOKUP($C43,DATA!$A:$A,DATA!$B:$B,"",0,1)</f>
        <v>0</v>
      </c>
      <c r="E43" s="5">
        <f>_xlfn.XLOOKUP($C43,DATA!$A:$A,DATA!C:C,"",0,1)</f>
        <v>0</v>
      </c>
      <c r="F43" s="5">
        <f>_xlfn.XLOOKUP($C43,DATA!$A:$A,DATA!D:D,"",0,1)</f>
        <v>0</v>
      </c>
      <c r="G43" s="6" t="str">
        <f t="shared" si="6"/>
        <v>115</v>
      </c>
      <c r="I43" s="5" t="str">
        <f t="shared" si="7"/>
        <v/>
      </c>
      <c r="K43" s="26" t="str">
        <f t="shared" ca="1" si="8"/>
        <v/>
      </c>
      <c r="L43" s="5" t="str">
        <f t="shared" ca="1" si="8"/>
        <v/>
      </c>
      <c r="M43" s="25" t="str">
        <f t="shared" ca="1" si="8"/>
        <v/>
      </c>
      <c r="N43" s="16" t="str">
        <f t="shared" ca="1" si="8"/>
        <v/>
      </c>
    </row>
    <row r="44" spans="1:14" x14ac:dyDescent="0.25">
      <c r="A44" s="2"/>
      <c r="B44" s="9">
        <v>16</v>
      </c>
      <c r="D44" s="5">
        <f>_xlfn.XLOOKUP($C44,DATA!$A:$A,DATA!$B:$B,"",0,1)</f>
        <v>0</v>
      </c>
      <c r="E44" s="5">
        <f>_xlfn.XLOOKUP($C44,DATA!$A:$A,DATA!C:C,"",0,1)</f>
        <v>0</v>
      </c>
      <c r="F44" s="5">
        <f>_xlfn.XLOOKUP($C44,DATA!$A:$A,DATA!D:D,"",0,1)</f>
        <v>0</v>
      </c>
      <c r="G44" s="6" t="str">
        <f t="shared" si="6"/>
        <v>116</v>
      </c>
      <c r="I44" s="5" t="str">
        <f t="shared" si="7"/>
        <v/>
      </c>
      <c r="K44" s="26" t="str">
        <f t="shared" ca="1" si="8"/>
        <v/>
      </c>
      <c r="L44" s="5" t="str">
        <f t="shared" ca="1" si="8"/>
        <v/>
      </c>
      <c r="M44" s="25" t="str">
        <f t="shared" ca="1" si="8"/>
        <v/>
      </c>
      <c r="N44" s="16" t="str">
        <f t="shared" ca="1" si="8"/>
        <v/>
      </c>
    </row>
    <row r="45" spans="1:14" x14ac:dyDescent="0.25">
      <c r="A45" s="2"/>
      <c r="B45" s="9">
        <v>17</v>
      </c>
      <c r="D45" s="5">
        <f>_xlfn.XLOOKUP($C45,DATA!$A:$A,DATA!$B:$B,"",0,1)</f>
        <v>0</v>
      </c>
      <c r="E45" s="5">
        <f>_xlfn.XLOOKUP($C45,DATA!$A:$A,DATA!C:C,"",0,1)</f>
        <v>0</v>
      </c>
      <c r="F45" s="5">
        <f>_xlfn.XLOOKUP($C45,DATA!$A:$A,DATA!D:D,"",0,1)</f>
        <v>0</v>
      </c>
      <c r="G45" s="6" t="str">
        <f t="shared" si="6"/>
        <v>117</v>
      </c>
      <c r="I45" s="5" t="str">
        <f t="shared" si="7"/>
        <v/>
      </c>
      <c r="K45" s="26" t="str">
        <f t="shared" ca="1" si="8"/>
        <v/>
      </c>
      <c r="L45" s="5" t="str">
        <f t="shared" ca="1" si="8"/>
        <v/>
      </c>
      <c r="M45" s="25" t="str">
        <f t="shared" ca="1" si="8"/>
        <v/>
      </c>
      <c r="N45" s="16" t="str">
        <f t="shared" ca="1" si="8"/>
        <v/>
      </c>
    </row>
    <row r="46" spans="1:14" ht="15.75" thickBot="1" x14ac:dyDescent="0.3">
      <c r="A46" s="3"/>
      <c r="B46" s="10">
        <v>18</v>
      </c>
      <c r="C46" s="4"/>
      <c r="D46" s="7">
        <f>_xlfn.XLOOKUP($C46,DATA!$A:$A,DATA!$B:$B,"",0,1)</f>
        <v>0</v>
      </c>
      <c r="E46" s="7">
        <f>_xlfn.XLOOKUP($C46,DATA!$A:$A,DATA!C:C,"",0,1)</f>
        <v>0</v>
      </c>
      <c r="F46" s="7">
        <f>_xlfn.XLOOKUP($C46,DATA!$A:$A,DATA!D:D,"",0,1)</f>
        <v>0</v>
      </c>
      <c r="G46" s="8" t="str">
        <f t="shared" si="6"/>
        <v>118</v>
      </c>
      <c r="I46" s="5" t="str">
        <f t="shared" si="7"/>
        <v/>
      </c>
      <c r="K46" s="39" t="str">
        <f t="shared" ca="1" si="8"/>
        <v/>
      </c>
      <c r="L46" s="7" t="str">
        <f t="shared" ca="1" si="8"/>
        <v/>
      </c>
      <c r="M46" s="41" t="str">
        <f t="shared" ca="1" si="8"/>
        <v/>
      </c>
      <c r="N46" s="17" t="str">
        <f t="shared" ca="1" si="8"/>
        <v/>
      </c>
    </row>
  </sheetData>
  <dataConsolidate/>
  <pageMargins left="0.23622047244094491" right="0.23622047244094491" top="0.74803149606299213" bottom="0.74803149606299213" header="0.31496062992125984" footer="0.31496062992125984"/>
  <pageSetup paperSize="8" orientation="landscape" verticalDpi="1200" r:id="rId1"/>
  <headerFooter scaleWithDoc="0">
    <oddHeader>&amp;CSlot/Type: &amp;A</oddHeader>
    <oddFooter>&amp;L&amp;F&amp;R&amp;P of 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C826477-5C68-46D6-801C-2F9BACF0F89D}">
          <x14:formula1>
            <xm:f>DATA!$A$4:$A$15</xm:f>
          </x14:formula1>
          <xm:sqref>C9:C26 C29:C46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CA62-E3A1-4BE1-A1BA-7E23B869300A}">
  <sheetPr codeName="Sheet2">
    <pageSetUpPr fitToPage="1"/>
  </sheetPr>
  <dimension ref="A3:D12"/>
  <sheetViews>
    <sheetView workbookViewId="0">
      <selection activeCell="F47" sqref="F47"/>
    </sheetView>
  </sheetViews>
  <sheetFormatPr defaultRowHeight="15" x14ac:dyDescent="0.25"/>
  <cols>
    <col min="1" max="1" width="18.42578125" customWidth="1"/>
    <col min="2" max="2" width="29.28515625" customWidth="1"/>
  </cols>
  <sheetData>
    <row r="3" spans="1:4" s="1" customFormat="1" x14ac:dyDescent="0.25">
      <c r="A3" s="1" t="s">
        <v>360</v>
      </c>
      <c r="B3" s="1" t="s">
        <v>7</v>
      </c>
      <c r="C3" s="1" t="s">
        <v>361</v>
      </c>
      <c r="D3" s="1" t="s">
        <v>31</v>
      </c>
    </row>
    <row r="4" spans="1:4" x14ac:dyDescent="0.25">
      <c r="A4" t="s">
        <v>362</v>
      </c>
      <c r="B4" t="s">
        <v>363</v>
      </c>
      <c r="C4" t="s">
        <v>18</v>
      </c>
      <c r="D4">
        <v>0</v>
      </c>
    </row>
    <row r="5" spans="1:4" x14ac:dyDescent="0.25">
      <c r="A5" t="s">
        <v>364</v>
      </c>
      <c r="B5" t="s">
        <v>365</v>
      </c>
      <c r="C5" t="s">
        <v>19</v>
      </c>
      <c r="D5">
        <v>0</v>
      </c>
    </row>
    <row r="6" spans="1:4" x14ac:dyDescent="0.25">
      <c r="A6" t="s">
        <v>34</v>
      </c>
      <c r="B6" t="s">
        <v>366</v>
      </c>
      <c r="C6" t="s">
        <v>19</v>
      </c>
      <c r="D6">
        <v>0</v>
      </c>
    </row>
    <row r="7" spans="1:4" x14ac:dyDescent="0.25">
      <c r="A7" t="s">
        <v>35</v>
      </c>
      <c r="B7" t="s">
        <v>367</v>
      </c>
      <c r="C7" t="s">
        <v>20</v>
      </c>
      <c r="D7">
        <v>0</v>
      </c>
    </row>
    <row r="8" spans="1:4" x14ac:dyDescent="0.25">
      <c r="A8" t="s">
        <v>38</v>
      </c>
      <c r="B8" t="s">
        <v>368</v>
      </c>
      <c r="C8" t="s">
        <v>21</v>
      </c>
      <c r="D8">
        <v>0</v>
      </c>
    </row>
    <row r="9" spans="1:4" x14ac:dyDescent="0.25">
      <c r="A9" t="s">
        <v>36</v>
      </c>
      <c r="B9" t="s">
        <v>369</v>
      </c>
      <c r="C9" t="s">
        <v>14</v>
      </c>
      <c r="D9">
        <v>32</v>
      </c>
    </row>
    <row r="10" spans="1:4" x14ac:dyDescent="0.25">
      <c r="A10" t="s">
        <v>370</v>
      </c>
      <c r="B10" t="s">
        <v>371</v>
      </c>
      <c r="C10" t="s">
        <v>15</v>
      </c>
      <c r="D10">
        <v>16</v>
      </c>
    </row>
    <row r="11" spans="1:4" x14ac:dyDescent="0.25">
      <c r="A11" t="s">
        <v>37</v>
      </c>
      <c r="B11" t="s">
        <v>372</v>
      </c>
      <c r="C11" t="s">
        <v>16</v>
      </c>
      <c r="D11">
        <v>32</v>
      </c>
    </row>
    <row r="12" spans="1:4" x14ac:dyDescent="0.25">
      <c r="A12" t="s">
        <v>39</v>
      </c>
      <c r="B12" t="s">
        <v>373</v>
      </c>
      <c r="C12" t="s">
        <v>17</v>
      </c>
      <c r="D12">
        <v>24</v>
      </c>
    </row>
  </sheetData>
  <pageMargins left="0.23622047244094491" right="0.23622047244094491" top="0.74803149606299213" bottom="0.74803149606299213" header="0.31496062992125984" footer="0.31496062992125984"/>
  <pageSetup paperSize="8" orientation="landscape" verticalDpi="1200" r:id="rId1"/>
  <headerFooter scaleWithDoc="0">
    <oddHeader>&amp;CSlot/Type: &amp;A</oddHeader>
    <oddFooter>&amp;L&amp;F&amp;R&amp;P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DEE97830DA6345BD696E7A1C65AD0B" ma:contentTypeVersion="17" ma:contentTypeDescription="Create a new document." ma:contentTypeScope="" ma:versionID="0bcba4adca0605f3452952e9f41456eb">
  <xsd:schema xmlns:xsd="http://www.w3.org/2001/XMLSchema" xmlns:xs="http://www.w3.org/2001/XMLSchema" xmlns:p="http://schemas.microsoft.com/office/2006/metadata/properties" xmlns:ns2="f33d2698-a45c-4be0-8572-67c862b48df8" xmlns:ns3="7adc6fad-6059-4541-bc55-c1f0090b5338" xmlns:ns4="5c0669a9-1f0e-4bf0-b923-4ef2d9164cd6" targetNamespace="http://schemas.microsoft.com/office/2006/metadata/properties" ma:root="true" ma:fieldsID="3bc7aad845b6052630f9b104f930fdf6" ns2:_="" ns3:_="" ns4:_="">
    <xsd:import namespace="f33d2698-a45c-4be0-8572-67c862b48df8"/>
    <xsd:import namespace="7adc6fad-6059-4541-bc55-c1f0090b5338"/>
    <xsd:import namespace="5c0669a9-1f0e-4bf0-b923-4ef2d9164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d2698-a45c-4be0-8572-67c862b48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c6fad-6059-4541-bc55-c1f0090b53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669a9-1f0e-4bf0-b923-4ef2d9164c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f0e8649-f240-408b-b164-eba24233980b}" ma:internalName="TaxCatchAll" ma:showField="CatchAllData" ma:web="7adc6fad-6059-4541-bc55-c1f0090b53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criptIds xmlns="http://schemas.microsoft.com/office/extensibility/maker/v1.0" id="script-ids-node-id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3d2698-a45c-4be0-8572-67c862b48df8">
      <Terms xmlns="http://schemas.microsoft.com/office/infopath/2007/PartnerControls"/>
    </lcf76f155ced4ddcb4097134ff3c332f>
    <TaxCatchAll xmlns="5c0669a9-1f0e-4bf0-b923-4ef2d9164cd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1DA897-AC5B-4756-861E-FA1DC8E30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d2698-a45c-4be0-8572-67c862b48df8"/>
    <ds:schemaRef ds:uri="7adc6fad-6059-4541-bc55-c1f0090b5338"/>
    <ds:schemaRef ds:uri="5c0669a9-1f0e-4bf0-b923-4ef2d9164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7AE829-1199-4588-9033-7BEFB2A56FD0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9D1D927A-B0FF-4207-9F87-3C5B13B15900}">
  <ds:schemaRefs>
    <ds:schemaRef ds:uri="http://schemas.microsoft.com/office/2006/metadata/properties"/>
    <ds:schemaRef ds:uri="http://schemas.microsoft.com/office/infopath/2007/PartnerControls"/>
    <ds:schemaRef ds:uri="f33d2698-a45c-4be0-8572-67c862b48df8"/>
    <ds:schemaRef ds:uri="5c0669a9-1f0e-4bf0-b923-4ef2d9164cd6"/>
  </ds:schemaRefs>
</ds:datastoreItem>
</file>

<file path=customXml/itemProps4.xml><?xml version="1.0" encoding="utf-8"?>
<ds:datastoreItem xmlns:ds="http://schemas.openxmlformats.org/officeDocument/2006/customXml" ds:itemID="{31424335-55CC-4FB7-B222-D3F1E7449B6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b0d713-a5c0-44b2-81ea-002580e1d24c}" enabled="1" method="Standard" siteId="{daa14706-6b65-4aec-b001-90a7bef6399d}" contentBits="0" removed="0"/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Cover Sheet</vt:lpstr>
      <vt:lpstr>005_AI</vt:lpstr>
      <vt:lpstr>007_DI</vt:lpstr>
      <vt:lpstr>008_DI</vt:lpstr>
      <vt:lpstr>009_DI</vt:lpstr>
      <vt:lpstr>013_DO</vt:lpstr>
      <vt:lpstr>014_DO</vt:lpstr>
      <vt:lpstr>015_DO</vt:lpstr>
      <vt:lpstr>016_DO</vt:lpstr>
      <vt:lpstr>OVERVIEW</vt:lpstr>
      <vt:lpstr>DATA</vt:lpstr>
      <vt:lpstr>'005_AI'!Print_Area</vt:lpstr>
      <vt:lpstr>'007_DI'!Print_Area</vt:lpstr>
      <vt:lpstr>'008_DI'!Print_Area</vt:lpstr>
      <vt:lpstr>'009_DI'!Print_Area</vt:lpstr>
      <vt:lpstr>'013_DO'!Print_Area</vt:lpstr>
      <vt:lpstr>'Cover Sheet'!Print_Area</vt:lpstr>
      <vt:lpstr>OVERVIEW!Print_Area</vt:lpstr>
      <vt:lpstr>'005_AI'!Print_Titles</vt:lpstr>
      <vt:lpstr>'007_DI'!Print_Titles</vt:lpstr>
      <vt:lpstr>'008_DI'!Print_Titles</vt:lpstr>
      <vt:lpstr>'009_DI'!Print_Titles</vt:lpstr>
      <vt:lpstr>'013_DO'!Print_Titles</vt:lpstr>
      <vt:lpstr>'014_DO'!Print_Titles</vt:lpstr>
      <vt:lpstr>'015_DO'!Print_Titles</vt:lpstr>
      <vt:lpstr>'016_DO'!Print_Titles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Turley, Leigh (Matthew James Recruitment Specialists,RAL,LSCI)</dc:creator>
  <cp:keywords/>
  <dc:description/>
  <cp:lastModifiedBy>Fazuan, Engku</cp:lastModifiedBy>
  <cp:revision/>
  <cp:lastPrinted>2026-04-16T12:05:53Z</cp:lastPrinted>
  <dcterms:created xsi:type="dcterms:W3CDTF">2025-08-13T08:56:15Z</dcterms:created>
  <dcterms:modified xsi:type="dcterms:W3CDTF">2026-04-16T13:26:22Z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0x01010040DEE97830DA6345BD696E7A1C65AD0B</vt:lpwstr>
  </property>
  <property fmtid="{D5CDD505-2E9C-101B-9397-08002B2CF9AE}" pid="3" name="MediaServiceImageTags">
    <vt:lpwstr/>
  </property>
  <property fmtid="{D5CDD505-2E9C-101B-9397-08002B2CF9AE}" pid="4" name="Order">
    <vt:r8>1775200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</Properties>
</file>